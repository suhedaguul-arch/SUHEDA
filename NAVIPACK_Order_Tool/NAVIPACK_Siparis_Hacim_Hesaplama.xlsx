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S - ORDER" sheetId="1" state="visible" r:id="rId1"/>
    <sheet name="PALET &amp; TIR OZETI" sheetId="2" state="visible" r:id="rId2"/>
    <sheet name="ACIKLAMA -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00"/>
    <numFmt numFmtId="166" formatCode="#,##0.0"/>
    <numFmt numFmtId="167" formatCode="0.0%"/>
  </numFmts>
  <fonts count="1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9"/>
    </font>
    <font>
      <b val="1"/>
    </font>
    <font>
      <b val="1"/>
      <color rgb="00FFFFFF"/>
      <sz val="10"/>
    </font>
    <font>
      <b val="1"/>
      <color rgb="00FFFFFF"/>
      <sz val="9"/>
    </font>
    <font>
      <sz val="9"/>
    </font>
    <font>
      <color rgb="00833C00"/>
      <sz val="9"/>
    </font>
    <font>
      <b val="1"/>
      <color rgb="00833C00"/>
    </font>
    <font>
      <b val="1"/>
      <color rgb="00FFFFFF"/>
      <sz val="11"/>
    </font>
    <font>
      <b val="1"/>
      <color rgb="001F3864"/>
      <sz val="9"/>
    </font>
    <font>
      <b val="1"/>
      <color rgb="00C00000"/>
      <sz val="12"/>
    </font>
    <font>
      <i val="1"/>
      <color rgb="00C00000"/>
      <sz val="9"/>
    </font>
    <font>
      <i val="1"/>
      <color rgb="00404040"/>
      <sz val="9"/>
    </font>
    <font>
      <b val="1"/>
      <color rgb="00FFFFFF"/>
    </font>
    <font>
      <b val="1"/>
      <sz val="10"/>
    </font>
    <font>
      <b val="1"/>
      <color rgb="00000000"/>
      <sz val="12"/>
    </font>
    <font>
      <sz val="10"/>
    </font>
    <font>
      <b val="1"/>
      <color rgb="001F3864"/>
      <sz val="1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833C00"/>
      </patternFill>
    </fill>
    <fill>
      <patternFill patternType="solid">
        <fgColor rgb="00BF8F00"/>
      </patternFill>
    </fill>
    <fill>
      <patternFill patternType="solid">
        <fgColor rgb="00548235"/>
      </patternFill>
    </fill>
    <fill>
      <patternFill patternType="solid">
        <fgColor rgb="00A6A6A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BE9DD"/>
      </patternFill>
    </fill>
  </fills>
  <borders count="3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 wrapText="1"/>
    </xf>
    <xf numFmtId="165" fontId="11" fillId="14" borderId="1" applyAlignment="1" pivotButton="0" quotePrefix="0" xfId="0">
      <alignment horizontal="center" vertical="center"/>
    </xf>
    <xf numFmtId="167" fontId="11" fillId="1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11" fillId="14" borderId="1" applyAlignment="1" pivotButton="0" quotePrefix="0" xfId="0">
      <alignment horizontal="center" vertical="center"/>
    </xf>
    <xf numFmtId="4" fontId="11" fillId="1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3" fillId="0" borderId="2" pivotButton="0" quotePrefix="0" xfId="0"/>
    <xf numFmtId="0" fontId="6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center"/>
    </xf>
    <xf numFmtId="3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4" fontId="0" fillId="0" borderId="2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3" fontId="0" fillId="10" borderId="2" pivotButton="0" quotePrefix="0" xfId="0"/>
    <xf numFmtId="2" fontId="0" fillId="10" borderId="2" pivotButton="0" quotePrefix="0" xfId="0"/>
    <xf numFmtId="1" fontId="0" fillId="10" borderId="2" pivotButton="0" quotePrefix="0" xfId="0"/>
    <xf numFmtId="166" fontId="0" fillId="10" borderId="2" pivotButton="0" quotePrefix="0" xfId="0"/>
    <xf numFmtId="165" fontId="0" fillId="10" borderId="2" pivotButton="0" quotePrefix="0" xfId="0"/>
    <xf numFmtId="4" fontId="0" fillId="10" borderId="2" pivotButton="0" quotePrefix="0" xfId="0"/>
    <xf numFmtId="0" fontId="0" fillId="9" borderId="2" pivotButton="0" quotePrefix="0" xfId="0"/>
    <xf numFmtId="4" fontId="0" fillId="3" borderId="1" applyAlignment="1" pivotButton="0" quotePrefix="0" xfId="0">
      <alignment horizontal="center"/>
    </xf>
    <xf numFmtId="0" fontId="8" fillId="11" borderId="2" applyAlignment="1" pivotButton="0" quotePrefix="0" xfId="0">
      <alignment horizontal="center"/>
    </xf>
    <xf numFmtId="0" fontId="9" fillId="2" borderId="0" applyAlignment="1" pivotButton="0" quotePrefix="0" xfId="0">
      <alignment horizontal="right" vertical="center"/>
    </xf>
    <xf numFmtId="3" fontId="3" fillId="12" borderId="1" pivotButton="0" quotePrefix="0" xfId="0"/>
    <xf numFmtId="2" fontId="3" fillId="12" borderId="1" pivotButton="0" quotePrefix="0" xfId="0"/>
    <xf numFmtId="0" fontId="3" fillId="12" borderId="1" pivotButton="0" quotePrefix="0" xfId="0"/>
    <xf numFmtId="166" fontId="3" fillId="12" borderId="1" pivotButton="0" quotePrefix="0" xfId="0"/>
    <xf numFmtId="165" fontId="3" fillId="12" borderId="1" pivotButton="0" quotePrefix="0" xfId="0"/>
    <xf numFmtId="4" fontId="3" fillId="12" borderId="1" pivotButton="0" quotePrefix="0" xfId="0"/>
    <xf numFmtId="0" fontId="1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 wrapText="1"/>
    </xf>
    <xf numFmtId="3" fontId="0" fillId="0" borderId="2" pivotButton="0" quotePrefix="0" xfId="0"/>
    <xf numFmtId="2" fontId="0" fillId="0" borderId="2" pivotButton="0" quotePrefix="0" xfId="0"/>
    <xf numFmtId="1" fontId="0" fillId="0" borderId="2" pivotButton="0" quotePrefix="0" xfId="0"/>
    <xf numFmtId="1" fontId="3" fillId="10" borderId="2" pivotButton="0" quotePrefix="0" xfId="0"/>
    <xf numFmtId="166" fontId="0" fillId="0" borderId="2" pivotButton="0" quotePrefix="0" xfId="0"/>
    <xf numFmtId="165" fontId="0" fillId="0" borderId="2" pivotButton="0" quotePrefix="0" xfId="0"/>
    <xf numFmtId="0" fontId="8" fillId="11" borderId="2" pivotButton="0" quotePrefix="0" xfId="0"/>
    <xf numFmtId="3" fontId="0" fillId="15" borderId="2" pivotButton="0" quotePrefix="0" xfId="0"/>
    <xf numFmtId="2" fontId="0" fillId="15" borderId="2" pivotButton="0" quotePrefix="0" xfId="0"/>
    <xf numFmtId="0" fontId="0" fillId="15" borderId="2" pivotButton="0" quotePrefix="0" xfId="0"/>
    <xf numFmtId="166" fontId="0" fillId="15" borderId="2" pivotButton="0" quotePrefix="0" xfId="0"/>
    <xf numFmtId="165" fontId="0" fillId="15" borderId="2" pivotButton="0" quotePrefix="0" xfId="0"/>
    <xf numFmtId="0" fontId="14" fillId="2" borderId="0" applyAlignment="1" pivotButton="0" quotePrefix="0" xfId="0">
      <alignment horizontal="right"/>
    </xf>
    <xf numFmtId="1" fontId="3" fillId="12" borderId="1" pivotButton="0" quotePrefix="0" xfId="0"/>
    <xf numFmtId="0" fontId="9" fillId="5" borderId="0" applyAlignment="1" pivotButton="0" quotePrefix="0" xfId="0">
      <alignment vertical="center"/>
    </xf>
    <xf numFmtId="0" fontId="15" fillId="0" borderId="2" applyAlignment="1" pivotButton="0" quotePrefix="0" xfId="0">
      <alignment horizontal="right" vertical="center"/>
    </xf>
    <xf numFmtId="0" fontId="0" fillId="0" borderId="2" pivotButton="0" quotePrefix="0" xfId="0"/>
    <xf numFmtId="165" fontId="16" fillId="0" borderId="1" applyAlignment="1" pivotButton="0" quotePrefix="0" xfId="0">
      <alignment horizontal="center" vertical="center"/>
    </xf>
    <xf numFmtId="167" fontId="16" fillId="0" borderId="1" applyAlignment="1" pivotButton="0" quotePrefix="0" xfId="0">
      <alignment horizontal="center" vertical="center"/>
    </xf>
    <xf numFmtId="1" fontId="11" fillId="11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17" fillId="0" borderId="0" pivotButton="0" quotePrefix="0" xfId="0"/>
    <xf numFmtId="0" fontId="18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NAVIPACK</author>
  </authors>
  <commentList>
    <comment ref="G3" authorId="0" shapeId="0">
      <text>
        <t>NAVIPACK standart TIR = 90 m3
Cift dorse (double trailer) = 120 m3
Dolum HACME gore hesaplanir.</t>
      </text>
    </comment>
    <comment ref="D6" authorId="0" shapeId="0">
      <text>
        <t>PALET = paletli yuklenir (tam sira zorunlu). DOKME = palet ustu dokme / bulk (serbest adet).</t>
      </text>
    </comment>
    <comment ref="L6" authorId="0" shapeId="0">
      <text>
        <t>Siparisi KOLI cinsinden girin. PALET urunlerde sadece KOLI/SIRA katlari kabul edilir.</t>
      </text>
    </comment>
    <comment ref="K27" authorId="0" shapeId="0">
      <text>
        <t>Bu urun NAVIPACK fiyat teklifinde YOK. FIYAT/1000 hucresini (K) elle giriniz.</t>
      </text>
    </comment>
    <comment ref="K28" authorId="0" shapeId="0">
      <text>
        <t>Bu urun NAVIPACK fiyat teklifinde YOK. FIYAT/1000 hucresini (K) elle giriniz.</t>
      </text>
    </comment>
    <comment ref="K29" authorId="0" shapeId="0">
      <text>
        <t>Bu urun NAVIPACK fiyat teklifinde YOK. FIYAT/1000 hucresini (K) elle giriniz.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0" customWidth="1" min="4" max="4"/>
    <col width="10" customWidth="1" min="5" max="5"/>
    <col width="9" customWidth="1" min="6" max="6"/>
    <col width="8" customWidth="1" min="7" max="7"/>
    <col width="10" customWidth="1" min="8" max="8"/>
    <col width="10" customWidth="1" min="9" max="9"/>
    <col width="9" customWidth="1" min="10" max="10"/>
    <col width="10" customWidth="1" min="11" max="11"/>
    <col width="12" customWidth="1" min="12" max="12"/>
    <col width="11" customWidth="1" min="13" max="13"/>
    <col width="9" customWidth="1" min="14" max="14"/>
    <col width="8" customWidth="1" min="15" max="15"/>
    <col width="11" customWidth="1" min="16" max="16"/>
    <col width="9" customWidth="1" min="17" max="17"/>
    <col width="12" customWidth="1" min="18" max="18"/>
    <col width="12" customWidth="1" min="19" max="19"/>
  </cols>
  <sheetData>
    <row r="1" ht="26" customHeight="1">
      <c r="A1" s="1" t="inlineStr">
        <is>
          <t>NAVIPACK LLC
SIPARIS &amp; HACIM HESAPLAMA
ORDER &amp; VOLUME CALCULATOR (v3)</t>
        </is>
      </c>
      <c r="F1" s="2" t="inlineStr">
        <is>
          <t>MUSTERI / CUSTOMER:</t>
        </is>
      </c>
      <c r="G1" s="3" t="inlineStr"/>
      <c r="L1" s="4" t="inlineStr">
        <is>
          <t>TOPLAM
HACIM m3</t>
        </is>
      </c>
      <c r="N1" s="5">
        <f>Q30</f>
        <v/>
      </c>
      <c r="P1" s="4" t="inlineStr">
        <is>
          <t>TIR
DOLULUK %</t>
        </is>
      </c>
      <c r="R1" s="6">
        <f>IF($G$3=0,0,Q30/$G$3)</f>
        <v/>
      </c>
    </row>
    <row r="2">
      <c r="F2" s="2" t="inlineStr">
        <is>
          <t>TARIH / DATE:</t>
        </is>
      </c>
      <c r="G2" s="7">
        <f>TODAY()</f>
        <v/>
      </c>
    </row>
    <row r="3" ht="26" customHeight="1">
      <c r="F3" s="2" t="inlineStr">
        <is>
          <t>TIR KAPASITESI (m3):</t>
        </is>
      </c>
      <c r="G3" s="3" t="n">
        <v>90</v>
      </c>
      <c r="L3" s="4" t="inlineStr">
        <is>
          <t>GEREKEN
TIR ADEDI</t>
        </is>
      </c>
      <c r="N3" s="8">
        <f>IF($G$3=0,0,CEILING(Q30/$G$3,1))</f>
        <v/>
      </c>
      <c r="P3" s="4" t="inlineStr">
        <is>
          <t>TOPLAM
TUTAR USD</t>
        </is>
      </c>
      <c r="R3" s="9">
        <f>R30</f>
        <v/>
      </c>
    </row>
    <row r="4"/>
    <row r="6" ht="30" customHeight="1">
      <c r="A6" s="10" t="inlineStr">
        <is>
          <t>NO</t>
        </is>
      </c>
      <c r="B6" s="10" t="inlineStr">
        <is>
          <t>URUN / PRODUCT</t>
        </is>
      </c>
      <c r="C6" s="10" t="inlineStr">
        <is>
          <t>RENK / COLOUR</t>
        </is>
      </c>
      <c r="D6" s="11" t="inlineStr">
        <is>
          <t>YUKLEME
TIPI</t>
        </is>
      </c>
      <c r="E6" s="10" t="inlineStr">
        <is>
          <t>ADET/KOLI
(pcs/box)</t>
        </is>
      </c>
      <c r="F6" s="10" t="inlineStr">
        <is>
          <t>KOLI HACMI
m3</t>
        </is>
      </c>
      <c r="G6" s="10" t="inlineStr">
        <is>
          <t>KOLI NET
kg</t>
        </is>
      </c>
      <c r="H6" s="10" t="inlineStr">
        <is>
          <t>KOLI/SIRA
(box/layer)</t>
        </is>
      </c>
      <c r="I6" s="10" t="inlineStr">
        <is>
          <t>SIRA/PALET
(layer/pal)</t>
        </is>
      </c>
      <c r="J6" s="10" t="inlineStr">
        <is>
          <t>KOLI/PALET
(box/pal)</t>
        </is>
      </c>
      <c r="K6" s="12" t="inlineStr">
        <is>
          <t>FIYAT/1000
USD</t>
        </is>
      </c>
      <c r="L6" s="12" t="inlineStr">
        <is>
          <t>SIPARIS
(KOLI) ***</t>
        </is>
      </c>
      <c r="M6" s="13" t="inlineStr">
        <is>
          <t>SIPARIS
(ADET)</t>
        </is>
      </c>
      <c r="N6" s="13" t="inlineStr">
        <is>
          <t>PALET
(esdeger)</t>
        </is>
      </c>
      <c r="O6" s="13" t="inlineStr">
        <is>
          <t>TAM SIRA
(rows)</t>
        </is>
      </c>
      <c r="P6" s="13" t="inlineStr">
        <is>
          <t>NET AGIRLIK
kg</t>
        </is>
      </c>
      <c r="Q6" s="13" t="inlineStr">
        <is>
          <t>HACIM
m3</t>
        </is>
      </c>
      <c r="R6" s="13" t="inlineStr">
        <is>
          <t>TUTAR
USD</t>
        </is>
      </c>
      <c r="S6" s="14" t="inlineStr">
        <is>
          <t>AILE</t>
        </is>
      </c>
    </row>
    <row r="7">
      <c r="A7" s="15" t="n">
        <v>1</v>
      </c>
      <c r="B7" s="16" t="inlineStr">
        <is>
          <t>PREMIUM FORK</t>
        </is>
      </c>
      <c r="C7" s="17" t="inlineStr">
        <is>
          <t>TRANSPARENT</t>
        </is>
      </c>
      <c r="D7" s="18" t="inlineStr">
        <is>
          <t>PALET</t>
        </is>
      </c>
      <c r="E7" s="19" t="n">
        <v>4000</v>
      </c>
      <c r="F7" s="20" t="n">
        <v>0.046</v>
      </c>
      <c r="G7" s="21">
        <f>E7*2.8/1000</f>
        <v/>
      </c>
      <c r="H7" s="15" t="n">
        <v>7</v>
      </c>
      <c r="I7" s="15" t="n">
        <v>10</v>
      </c>
      <c r="J7" s="15">
        <f>IF(OR(H7="",I7=""),0,H7*I7)</f>
        <v/>
      </c>
      <c r="K7" s="22" t="n">
        <v>7.5</v>
      </c>
      <c r="L7" s="23" t="n">
        <v>0</v>
      </c>
      <c r="M7" s="24">
        <f>L7*E7</f>
        <v/>
      </c>
      <c r="N7" s="25">
        <f>IF(D7="DOKME",0,IF(J7=0,0,L7/J7))</f>
        <v/>
      </c>
      <c r="O7" s="26">
        <f>IF(D7="DOKME",0,IF(H7=0,0,L7/H7))</f>
        <v/>
      </c>
      <c r="P7" s="27">
        <f>L7*G7</f>
        <v/>
      </c>
      <c r="Q7" s="28">
        <f>L7*F7</f>
        <v/>
      </c>
      <c r="R7" s="29">
        <f>IF(K7="",0,M7/1000*K7)</f>
        <v/>
      </c>
      <c r="S7" s="30" t="inlineStr">
        <is>
          <t>PREMIUM</t>
        </is>
      </c>
    </row>
    <row r="8">
      <c r="A8" s="15" t="n">
        <v>2</v>
      </c>
      <c r="B8" s="16" t="inlineStr">
        <is>
          <t>PREMIUM FORK</t>
        </is>
      </c>
      <c r="C8" s="17" t="inlineStr">
        <is>
          <t>BLACK</t>
        </is>
      </c>
      <c r="D8" s="18" t="inlineStr">
        <is>
          <t>PALET</t>
        </is>
      </c>
      <c r="E8" s="19" t="n">
        <v>4000</v>
      </c>
      <c r="F8" s="20" t="n">
        <v>0.046</v>
      </c>
      <c r="G8" s="21">
        <f>E8*2.8/1000</f>
        <v/>
      </c>
      <c r="H8" s="15" t="n">
        <v>7</v>
      </c>
      <c r="I8" s="15" t="n">
        <v>10</v>
      </c>
      <c r="J8" s="15">
        <f>IF(OR(H8="",I8=""),0,H8*I8)</f>
        <v/>
      </c>
      <c r="K8" s="22" t="n">
        <v>7.5</v>
      </c>
      <c r="L8" s="23" t="n">
        <v>0</v>
      </c>
      <c r="M8" s="24">
        <f>L8*E8</f>
        <v/>
      </c>
      <c r="N8" s="25">
        <f>IF(D8="DOKME",0,IF(J8=0,0,L8/J8))</f>
        <v/>
      </c>
      <c r="O8" s="26">
        <f>IF(D8="DOKME",0,IF(H8=0,0,L8/H8))</f>
        <v/>
      </c>
      <c r="P8" s="27">
        <f>L8*G8</f>
        <v/>
      </c>
      <c r="Q8" s="28">
        <f>L8*F8</f>
        <v/>
      </c>
      <c r="R8" s="29">
        <f>IF(K8="",0,M8/1000*K8)</f>
        <v/>
      </c>
      <c r="S8" s="30" t="inlineStr">
        <is>
          <t>PREMIUM</t>
        </is>
      </c>
    </row>
    <row r="9">
      <c r="A9" s="15" t="n">
        <v>3</v>
      </c>
      <c r="B9" s="16" t="inlineStr">
        <is>
          <t>PREMIUM SPOON</t>
        </is>
      </c>
      <c r="C9" s="17" t="inlineStr">
        <is>
          <t>TRANSPARENT</t>
        </is>
      </c>
      <c r="D9" s="18" t="inlineStr">
        <is>
          <t>PALET</t>
        </is>
      </c>
      <c r="E9" s="19" t="n">
        <v>4000</v>
      </c>
      <c r="F9" s="20" t="n">
        <v>0.056</v>
      </c>
      <c r="G9" s="21">
        <f>E9*2.8/1000</f>
        <v/>
      </c>
      <c r="H9" s="15" t="n">
        <v>7</v>
      </c>
      <c r="I9" s="15" t="n">
        <v>8</v>
      </c>
      <c r="J9" s="15">
        <f>IF(OR(H9="",I9=""),0,H9*I9)</f>
        <v/>
      </c>
      <c r="K9" s="22" t="n">
        <v>7.5</v>
      </c>
      <c r="L9" s="23" t="n">
        <v>0</v>
      </c>
      <c r="M9" s="24">
        <f>L9*E9</f>
        <v/>
      </c>
      <c r="N9" s="25">
        <f>IF(D9="DOKME",0,IF(J9=0,0,L9/J9))</f>
        <v/>
      </c>
      <c r="O9" s="26">
        <f>IF(D9="DOKME",0,IF(H9=0,0,L9/H9))</f>
        <v/>
      </c>
      <c r="P9" s="27">
        <f>L9*G9</f>
        <v/>
      </c>
      <c r="Q9" s="28">
        <f>L9*F9</f>
        <v/>
      </c>
      <c r="R9" s="29">
        <f>IF(K9="",0,M9/1000*K9)</f>
        <v/>
      </c>
      <c r="S9" s="30" t="inlineStr">
        <is>
          <t>PREMIUM</t>
        </is>
      </c>
    </row>
    <row r="10">
      <c r="A10" s="15" t="n">
        <v>4</v>
      </c>
      <c r="B10" s="16" t="inlineStr">
        <is>
          <t>PREMIUM SPOON</t>
        </is>
      </c>
      <c r="C10" s="17" t="inlineStr">
        <is>
          <t>BLACK</t>
        </is>
      </c>
      <c r="D10" s="18" t="inlineStr">
        <is>
          <t>PALET</t>
        </is>
      </c>
      <c r="E10" s="19" t="n">
        <v>4000</v>
      </c>
      <c r="F10" s="20" t="n">
        <v>0.056</v>
      </c>
      <c r="G10" s="21">
        <f>E10*2.8/1000</f>
        <v/>
      </c>
      <c r="H10" s="15" t="n">
        <v>7</v>
      </c>
      <c r="I10" s="15" t="n">
        <v>8</v>
      </c>
      <c r="J10" s="15">
        <f>IF(OR(H10="",I10=""),0,H10*I10)</f>
        <v/>
      </c>
      <c r="K10" s="22" t="n">
        <v>7.5</v>
      </c>
      <c r="L10" s="23" t="n">
        <v>0</v>
      </c>
      <c r="M10" s="24">
        <f>L10*E10</f>
        <v/>
      </c>
      <c r="N10" s="25">
        <f>IF(D10="DOKME",0,IF(J10=0,0,L10/J10))</f>
        <v/>
      </c>
      <c r="O10" s="26">
        <f>IF(D10="DOKME",0,IF(H10=0,0,L10/H10))</f>
        <v/>
      </c>
      <c r="P10" s="27">
        <f>L10*G10</f>
        <v/>
      </c>
      <c r="Q10" s="28">
        <f>L10*F10</f>
        <v/>
      </c>
      <c r="R10" s="29">
        <f>IF(K10="",0,M10/1000*K10)</f>
        <v/>
      </c>
      <c r="S10" s="30" t="inlineStr">
        <is>
          <t>PREMIUM</t>
        </is>
      </c>
    </row>
    <row r="11">
      <c r="A11" s="15" t="n">
        <v>5</v>
      </c>
      <c r="B11" s="16" t="inlineStr">
        <is>
          <t>PREMIUM KNIFE</t>
        </is>
      </c>
      <c r="C11" s="17" t="inlineStr">
        <is>
          <t>TRANSPARENT</t>
        </is>
      </c>
      <c r="D11" s="18" t="inlineStr">
        <is>
          <t>PALET</t>
        </is>
      </c>
      <c r="E11" s="19" t="n">
        <v>4000</v>
      </c>
      <c r="F11" s="20" t="n">
        <v>0.035</v>
      </c>
      <c r="G11" s="21">
        <f>E11*2.8/1000</f>
        <v/>
      </c>
      <c r="H11" s="15" t="n">
        <v>7</v>
      </c>
      <c r="I11" s="15" t="n">
        <v>11</v>
      </c>
      <c r="J11" s="15">
        <f>IF(OR(H11="",I11=""),0,H11*I11)</f>
        <v/>
      </c>
      <c r="K11" s="22" t="n">
        <v>7.5</v>
      </c>
      <c r="L11" s="23" t="n">
        <v>0</v>
      </c>
      <c r="M11" s="24">
        <f>L11*E11</f>
        <v/>
      </c>
      <c r="N11" s="25">
        <f>IF(D11="DOKME",0,IF(J11=0,0,L11/J11))</f>
        <v/>
      </c>
      <c r="O11" s="26">
        <f>IF(D11="DOKME",0,IF(H11=0,0,L11/H11))</f>
        <v/>
      </c>
      <c r="P11" s="27">
        <f>L11*G11</f>
        <v/>
      </c>
      <c r="Q11" s="28">
        <f>L11*F11</f>
        <v/>
      </c>
      <c r="R11" s="29">
        <f>IF(K11="",0,M11/1000*K11)</f>
        <v/>
      </c>
      <c r="S11" s="30" t="inlineStr">
        <is>
          <t>PREMIUM</t>
        </is>
      </c>
    </row>
    <row r="12">
      <c r="A12" s="15" t="n">
        <v>6</v>
      </c>
      <c r="B12" s="16" t="inlineStr">
        <is>
          <t>PREMIUM KNIFE</t>
        </is>
      </c>
      <c r="C12" s="17" t="inlineStr">
        <is>
          <t>BLACK</t>
        </is>
      </c>
      <c r="D12" s="18" t="inlineStr">
        <is>
          <t>PALET</t>
        </is>
      </c>
      <c r="E12" s="19" t="n">
        <v>4000</v>
      </c>
      <c r="F12" s="20" t="n">
        <v>0.035</v>
      </c>
      <c r="G12" s="21">
        <f>E12*2.8/1000</f>
        <v/>
      </c>
      <c r="H12" s="15" t="n">
        <v>7</v>
      </c>
      <c r="I12" s="15" t="n">
        <v>11</v>
      </c>
      <c r="J12" s="15">
        <f>IF(OR(H12="",I12=""),0,H12*I12)</f>
        <v/>
      </c>
      <c r="K12" s="22" t="n">
        <v>7.5</v>
      </c>
      <c r="L12" s="23" t="n">
        <v>0</v>
      </c>
      <c r="M12" s="24">
        <f>L12*E12</f>
        <v/>
      </c>
      <c r="N12" s="25">
        <f>IF(D12="DOKME",0,IF(J12=0,0,L12/J12))</f>
        <v/>
      </c>
      <c r="O12" s="26">
        <f>IF(D12="DOKME",0,IF(H12=0,0,L12/H12))</f>
        <v/>
      </c>
      <c r="P12" s="27">
        <f>L12*G12</f>
        <v/>
      </c>
      <c r="Q12" s="28">
        <f>L12*F12</f>
        <v/>
      </c>
      <c r="R12" s="29">
        <f>IF(K12="",0,M12/1000*K12)</f>
        <v/>
      </c>
      <c r="S12" s="30" t="inlineStr">
        <is>
          <t>PREMIUM</t>
        </is>
      </c>
    </row>
    <row r="13">
      <c r="A13" s="15" t="n">
        <v>7</v>
      </c>
      <c r="B13" s="16" t="inlineStr">
        <is>
          <t>PREMIUM DESSERT SPOON</t>
        </is>
      </c>
      <c r="C13" s="17" t="inlineStr">
        <is>
          <t>TRANSPARENT</t>
        </is>
      </c>
      <c r="D13" s="18" t="inlineStr">
        <is>
          <t>PALET</t>
        </is>
      </c>
      <c r="E13" s="19" t="n">
        <v>4000</v>
      </c>
      <c r="F13" s="20" t="n">
        <v>0.036</v>
      </c>
      <c r="G13" s="21">
        <f>E13*2.5/1000</f>
        <v/>
      </c>
      <c r="H13" s="15" t="n">
        <v>7</v>
      </c>
      <c r="I13" s="15" t="n">
        <v>9</v>
      </c>
      <c r="J13" s="15">
        <f>IF(OR(H13="",I13=""),0,H13*I13)</f>
        <v/>
      </c>
      <c r="K13" s="22" t="n">
        <v>7.25</v>
      </c>
      <c r="L13" s="23" t="n">
        <v>0</v>
      </c>
      <c r="M13" s="24">
        <f>L13*E13</f>
        <v/>
      </c>
      <c r="N13" s="25">
        <f>IF(D13="DOKME",0,IF(J13=0,0,L13/J13))</f>
        <v/>
      </c>
      <c r="O13" s="26">
        <f>IF(D13="DOKME",0,IF(H13=0,0,L13/H13))</f>
        <v/>
      </c>
      <c r="P13" s="27">
        <f>L13*G13</f>
        <v/>
      </c>
      <c r="Q13" s="28">
        <f>L13*F13</f>
        <v/>
      </c>
      <c r="R13" s="29">
        <f>IF(K13="",0,M13/1000*K13)</f>
        <v/>
      </c>
      <c r="S13" s="30" t="inlineStr">
        <is>
          <t>PREMIUM</t>
        </is>
      </c>
    </row>
    <row r="14">
      <c r="A14" s="15" t="n">
        <v>8</v>
      </c>
      <c r="B14" s="16" t="inlineStr">
        <is>
          <t>PREMIUM DESSERT SPOON</t>
        </is>
      </c>
      <c r="C14" s="17" t="inlineStr">
        <is>
          <t>BLACK</t>
        </is>
      </c>
      <c r="D14" s="18" t="inlineStr">
        <is>
          <t>PALET</t>
        </is>
      </c>
      <c r="E14" s="19" t="n">
        <v>4000</v>
      </c>
      <c r="F14" s="20" t="n">
        <v>0.036</v>
      </c>
      <c r="G14" s="21">
        <f>E14*2.5/1000</f>
        <v/>
      </c>
      <c r="H14" s="15" t="n">
        <v>7</v>
      </c>
      <c r="I14" s="15" t="n">
        <v>9</v>
      </c>
      <c r="J14" s="15">
        <f>IF(OR(H14="",I14=""),0,H14*I14)</f>
        <v/>
      </c>
      <c r="K14" s="22" t="n">
        <v>7.25</v>
      </c>
      <c r="L14" s="23" t="n">
        <v>0</v>
      </c>
      <c r="M14" s="24">
        <f>L14*E14</f>
        <v/>
      </c>
      <c r="N14" s="25">
        <f>IF(D14="DOKME",0,IF(J14=0,0,L14/J14))</f>
        <v/>
      </c>
      <c r="O14" s="26">
        <f>IF(D14="DOKME",0,IF(H14=0,0,L14/H14))</f>
        <v/>
      </c>
      <c r="P14" s="27">
        <f>L14*G14</f>
        <v/>
      </c>
      <c r="Q14" s="28">
        <f>L14*F14</f>
        <v/>
      </c>
      <c r="R14" s="29">
        <f>IF(K14="",0,M14/1000*K14)</f>
        <v/>
      </c>
      <c r="S14" s="30" t="inlineStr">
        <is>
          <t>PREMIUM</t>
        </is>
      </c>
    </row>
    <row r="15">
      <c r="A15" s="15" t="n">
        <v>9</v>
      </c>
      <c r="B15" s="16" t="inlineStr">
        <is>
          <t>DIAMOND FORK</t>
        </is>
      </c>
      <c r="C15" s="17" t="inlineStr">
        <is>
          <t>TRANSPARENT</t>
        </is>
      </c>
      <c r="D15" s="18" t="inlineStr">
        <is>
          <t>PALET</t>
        </is>
      </c>
      <c r="E15" s="19" t="n">
        <v>2000</v>
      </c>
      <c r="F15" s="20" t="n">
        <v>0.024</v>
      </c>
      <c r="G15" s="21">
        <f>E15*3.8/1000</f>
        <v/>
      </c>
      <c r="H15" s="15" t="n">
        <v>12</v>
      </c>
      <c r="I15" s="15" t="n">
        <v>10</v>
      </c>
      <c r="J15" s="15">
        <f>IF(OR(H15="",I15=""),0,H15*I15)</f>
        <v/>
      </c>
      <c r="K15" s="22" t="n">
        <v>10</v>
      </c>
      <c r="L15" s="23" t="n">
        <v>0</v>
      </c>
      <c r="M15" s="24">
        <f>L15*E15</f>
        <v/>
      </c>
      <c r="N15" s="25">
        <f>IF(D15="DOKME",0,IF(J15=0,0,L15/J15))</f>
        <v/>
      </c>
      <c r="O15" s="26">
        <f>IF(D15="DOKME",0,IF(H15=0,0,L15/H15))</f>
        <v/>
      </c>
      <c r="P15" s="27">
        <f>L15*G15</f>
        <v/>
      </c>
      <c r="Q15" s="28">
        <f>L15*F15</f>
        <v/>
      </c>
      <c r="R15" s="29">
        <f>IF(K15="",0,M15/1000*K15)</f>
        <v/>
      </c>
      <c r="S15" s="30" t="inlineStr">
        <is>
          <t>DIAMOND</t>
        </is>
      </c>
    </row>
    <row r="16">
      <c r="A16" s="15" t="n">
        <v>10</v>
      </c>
      <c r="B16" s="16" t="inlineStr">
        <is>
          <t>DIAMOND FORK</t>
        </is>
      </c>
      <c r="C16" s="17" t="inlineStr">
        <is>
          <t>BLACK</t>
        </is>
      </c>
      <c r="D16" s="18" t="inlineStr">
        <is>
          <t>PALET</t>
        </is>
      </c>
      <c r="E16" s="19" t="n">
        <v>2000</v>
      </c>
      <c r="F16" s="20" t="n">
        <v>0.024</v>
      </c>
      <c r="G16" s="21">
        <f>E16*3.8/1000</f>
        <v/>
      </c>
      <c r="H16" s="15" t="n">
        <v>12</v>
      </c>
      <c r="I16" s="15" t="n">
        <v>10</v>
      </c>
      <c r="J16" s="15">
        <f>IF(OR(H16="",I16=""),0,H16*I16)</f>
        <v/>
      </c>
      <c r="K16" s="22" t="n">
        <v>10</v>
      </c>
      <c r="L16" s="23" t="n">
        <v>0</v>
      </c>
      <c r="M16" s="24">
        <f>L16*E16</f>
        <v/>
      </c>
      <c r="N16" s="25">
        <f>IF(D16="DOKME",0,IF(J16=0,0,L16/J16))</f>
        <v/>
      </c>
      <c r="O16" s="26">
        <f>IF(D16="DOKME",0,IF(H16=0,0,L16/H16))</f>
        <v/>
      </c>
      <c r="P16" s="27">
        <f>L16*G16</f>
        <v/>
      </c>
      <c r="Q16" s="28">
        <f>L16*F16</f>
        <v/>
      </c>
      <c r="R16" s="29">
        <f>IF(K16="",0,M16/1000*K16)</f>
        <v/>
      </c>
      <c r="S16" s="30" t="inlineStr">
        <is>
          <t>DIAMOND</t>
        </is>
      </c>
    </row>
    <row r="17">
      <c r="A17" s="15" t="n">
        <v>11</v>
      </c>
      <c r="B17" s="16" t="inlineStr">
        <is>
          <t>DIAMOND SPOON</t>
        </is>
      </c>
      <c r="C17" s="17" t="inlineStr">
        <is>
          <t>TRANSPARENT</t>
        </is>
      </c>
      <c r="D17" s="18" t="inlineStr">
        <is>
          <t>PALET</t>
        </is>
      </c>
      <c r="E17" s="19" t="n">
        <v>2000</v>
      </c>
      <c r="F17" s="20" t="n">
        <v>0.031</v>
      </c>
      <c r="G17" s="21">
        <f>E17*3.8/1000</f>
        <v/>
      </c>
      <c r="H17" s="15" t="n">
        <v>12</v>
      </c>
      <c r="I17" s="15" t="n">
        <v>8</v>
      </c>
      <c r="J17" s="15">
        <f>IF(OR(H17="",I17=""),0,H17*I17)</f>
        <v/>
      </c>
      <c r="K17" s="22" t="n">
        <v>10</v>
      </c>
      <c r="L17" s="23" t="n">
        <v>0</v>
      </c>
      <c r="M17" s="24">
        <f>L17*E17</f>
        <v/>
      </c>
      <c r="N17" s="25">
        <f>IF(D17="DOKME",0,IF(J17=0,0,L17/J17))</f>
        <v/>
      </c>
      <c r="O17" s="26">
        <f>IF(D17="DOKME",0,IF(H17=0,0,L17/H17))</f>
        <v/>
      </c>
      <c r="P17" s="27">
        <f>L17*G17</f>
        <v/>
      </c>
      <c r="Q17" s="28">
        <f>L17*F17</f>
        <v/>
      </c>
      <c r="R17" s="29">
        <f>IF(K17="",0,M17/1000*K17)</f>
        <v/>
      </c>
      <c r="S17" s="30" t="inlineStr">
        <is>
          <t>DIAMOND</t>
        </is>
      </c>
    </row>
    <row r="18">
      <c r="A18" s="15" t="n">
        <v>12</v>
      </c>
      <c r="B18" s="16" t="inlineStr">
        <is>
          <t>DIAMOND SPOON</t>
        </is>
      </c>
      <c r="C18" s="17" t="inlineStr">
        <is>
          <t>BLACK</t>
        </is>
      </c>
      <c r="D18" s="18" t="inlineStr">
        <is>
          <t>PALET</t>
        </is>
      </c>
      <c r="E18" s="19" t="n">
        <v>2000</v>
      </c>
      <c r="F18" s="20" t="n">
        <v>0.031</v>
      </c>
      <c r="G18" s="21">
        <f>E18*3.8/1000</f>
        <v/>
      </c>
      <c r="H18" s="15" t="n">
        <v>12</v>
      </c>
      <c r="I18" s="15" t="n">
        <v>8</v>
      </c>
      <c r="J18" s="15">
        <f>IF(OR(H18="",I18=""),0,H18*I18)</f>
        <v/>
      </c>
      <c r="K18" s="22" t="n">
        <v>10</v>
      </c>
      <c r="L18" s="23" t="n">
        <v>0</v>
      </c>
      <c r="M18" s="24">
        <f>L18*E18</f>
        <v/>
      </c>
      <c r="N18" s="25">
        <f>IF(D18="DOKME",0,IF(J18=0,0,L18/J18))</f>
        <v/>
      </c>
      <c r="O18" s="26">
        <f>IF(D18="DOKME",0,IF(H18=0,0,L18/H18))</f>
        <v/>
      </c>
      <c r="P18" s="27">
        <f>L18*G18</f>
        <v/>
      </c>
      <c r="Q18" s="28">
        <f>L18*F18</f>
        <v/>
      </c>
      <c r="R18" s="29">
        <f>IF(K18="",0,M18/1000*K18)</f>
        <v/>
      </c>
      <c r="S18" s="30" t="inlineStr">
        <is>
          <t>DIAMOND</t>
        </is>
      </c>
    </row>
    <row r="19">
      <c r="A19" s="15" t="n">
        <v>13</v>
      </c>
      <c r="B19" s="16" t="inlineStr">
        <is>
          <t>DIAMOND KNIFE</t>
        </is>
      </c>
      <c r="C19" s="17" t="inlineStr">
        <is>
          <t>TRANSPARENT</t>
        </is>
      </c>
      <c r="D19" s="18" t="inlineStr">
        <is>
          <t>PALET</t>
        </is>
      </c>
      <c r="E19" s="19" t="n">
        <v>2000</v>
      </c>
      <c r="F19" s="20" t="n">
        <v>0.02</v>
      </c>
      <c r="G19" s="21">
        <f>E19*3.8/1000</f>
        <v/>
      </c>
      <c r="H19" s="15" t="n">
        <v>12</v>
      </c>
      <c r="I19" s="15" t="n">
        <v>12</v>
      </c>
      <c r="J19" s="15">
        <f>IF(OR(H19="",I19=""),0,H19*I19)</f>
        <v/>
      </c>
      <c r="K19" s="22" t="n">
        <v>10</v>
      </c>
      <c r="L19" s="23" t="n">
        <v>0</v>
      </c>
      <c r="M19" s="24">
        <f>L19*E19</f>
        <v/>
      </c>
      <c r="N19" s="25">
        <f>IF(D19="DOKME",0,IF(J19=0,0,L19/J19))</f>
        <v/>
      </c>
      <c r="O19" s="26">
        <f>IF(D19="DOKME",0,IF(H19=0,0,L19/H19))</f>
        <v/>
      </c>
      <c r="P19" s="27">
        <f>L19*G19</f>
        <v/>
      </c>
      <c r="Q19" s="28">
        <f>L19*F19</f>
        <v/>
      </c>
      <c r="R19" s="29">
        <f>IF(K19="",0,M19/1000*K19)</f>
        <v/>
      </c>
      <c r="S19" s="30" t="inlineStr">
        <is>
          <t>DIAMOND</t>
        </is>
      </c>
    </row>
    <row r="20">
      <c r="A20" s="15" t="n">
        <v>14</v>
      </c>
      <c r="B20" s="16" t="inlineStr">
        <is>
          <t>DIAMOND KNIFE</t>
        </is>
      </c>
      <c r="C20" s="17" t="inlineStr">
        <is>
          <t>BLACK</t>
        </is>
      </c>
      <c r="D20" s="18" t="inlineStr">
        <is>
          <t>PALET</t>
        </is>
      </c>
      <c r="E20" s="19" t="n">
        <v>2000</v>
      </c>
      <c r="F20" s="20" t="n">
        <v>0.02</v>
      </c>
      <c r="G20" s="21">
        <f>E20*3.8/1000</f>
        <v/>
      </c>
      <c r="H20" s="15" t="n">
        <v>12</v>
      </c>
      <c r="I20" s="15" t="n">
        <v>12</v>
      </c>
      <c r="J20" s="15">
        <f>IF(OR(H20="",I20=""),0,H20*I20)</f>
        <v/>
      </c>
      <c r="K20" s="22" t="n">
        <v>10</v>
      </c>
      <c r="L20" s="23" t="n">
        <v>0</v>
      </c>
      <c r="M20" s="24">
        <f>L20*E20</f>
        <v/>
      </c>
      <c r="N20" s="25">
        <f>IF(D20="DOKME",0,IF(J20=0,0,L20/J20))</f>
        <v/>
      </c>
      <c r="O20" s="26">
        <f>IF(D20="DOKME",0,IF(H20=0,0,L20/H20))</f>
        <v/>
      </c>
      <c r="P20" s="27">
        <f>L20*G20</f>
        <v/>
      </c>
      <c r="Q20" s="28">
        <f>L20*F20</f>
        <v/>
      </c>
      <c r="R20" s="29">
        <f>IF(K20="",0,M20/1000*K20)</f>
        <v/>
      </c>
      <c r="S20" s="30" t="inlineStr">
        <is>
          <t>DIAMOND</t>
        </is>
      </c>
    </row>
    <row r="21">
      <c r="A21" s="15" t="n">
        <v>15</v>
      </c>
      <c r="B21" s="16" t="inlineStr">
        <is>
          <t>SMART FORK</t>
        </is>
      </c>
      <c r="C21" s="17" t="inlineStr">
        <is>
          <t>TRANSPARENT / BLACK</t>
        </is>
      </c>
      <c r="D21" s="18" t="inlineStr">
        <is>
          <t>PALET</t>
        </is>
      </c>
      <c r="E21" s="19" t="n">
        <v>2000</v>
      </c>
      <c r="F21" s="20" t="n">
        <v>0.025</v>
      </c>
      <c r="G21" s="21">
        <f>E21*3.7/1000</f>
        <v/>
      </c>
      <c r="H21" s="15" t="n">
        <v>12</v>
      </c>
      <c r="I21" s="15" t="n">
        <v>10</v>
      </c>
      <c r="J21" s="15">
        <f>IF(OR(H21="",I21=""),0,H21*I21)</f>
        <v/>
      </c>
      <c r="K21" s="22" t="n">
        <v>9.75</v>
      </c>
      <c r="L21" s="23" t="n">
        <v>0</v>
      </c>
      <c r="M21" s="24">
        <f>L21*E21</f>
        <v/>
      </c>
      <c r="N21" s="25">
        <f>IF(D21="DOKME",0,IF(J21=0,0,L21/J21))</f>
        <v/>
      </c>
      <c r="O21" s="26">
        <f>IF(D21="DOKME",0,IF(H21=0,0,L21/H21))</f>
        <v/>
      </c>
      <c r="P21" s="27">
        <f>L21*G21</f>
        <v/>
      </c>
      <c r="Q21" s="28">
        <f>L21*F21</f>
        <v/>
      </c>
      <c r="R21" s="29">
        <f>IF(K21="",0,M21/1000*K21)</f>
        <v/>
      </c>
      <c r="S21" s="30" t="inlineStr">
        <is>
          <t>SMART</t>
        </is>
      </c>
    </row>
    <row r="22">
      <c r="A22" s="15" t="n">
        <v>16</v>
      </c>
      <c r="B22" s="16" t="inlineStr">
        <is>
          <t>WAVY ICE CREAM SPOON</t>
        </is>
      </c>
      <c r="C22" s="17" t="inlineStr">
        <is>
          <t>COLORED (RED/BLUE/GREEN/ORANGE)</t>
        </is>
      </c>
      <c r="D22" s="18" t="inlineStr">
        <is>
          <t>PALET</t>
        </is>
      </c>
      <c r="E22" s="19" t="n">
        <v>2000</v>
      </c>
      <c r="F22" s="20" t="n">
        <v>0.025</v>
      </c>
      <c r="G22" s="21">
        <f>E22*2.4/1000</f>
        <v/>
      </c>
      <c r="H22" s="15" t="n">
        <v>9</v>
      </c>
      <c r="I22" s="15" t="n">
        <v>9</v>
      </c>
      <c r="J22" s="15">
        <f>IF(OR(H22="",I22=""),0,H22*I22)</f>
        <v/>
      </c>
      <c r="K22" s="22" t="n">
        <v>8.5</v>
      </c>
      <c r="L22" s="23" t="n">
        <v>0</v>
      </c>
      <c r="M22" s="24">
        <f>L22*E22</f>
        <v/>
      </c>
      <c r="N22" s="25">
        <f>IF(D22="DOKME",0,IF(J22=0,0,L22/J22))</f>
        <v/>
      </c>
      <c r="O22" s="26">
        <f>IF(D22="DOKME",0,IF(H22=0,0,L22/H22))</f>
        <v/>
      </c>
      <c r="P22" s="27">
        <f>L22*G22</f>
        <v/>
      </c>
      <c r="Q22" s="28">
        <f>L22*F22</f>
        <v/>
      </c>
      <c r="R22" s="29">
        <f>IF(K22="",0,M22/1000*K22)</f>
        <v/>
      </c>
      <c r="S22" s="30" t="inlineStr">
        <is>
          <t>ICE CREAM</t>
        </is>
      </c>
    </row>
    <row r="23">
      <c r="A23" s="15" t="n">
        <v>17</v>
      </c>
      <c r="B23" s="16" t="inlineStr">
        <is>
          <t>120 CC CHAMPAGNE GLASS</t>
        </is>
      </c>
      <c r="C23" s="17" t="inlineStr">
        <is>
          <t>TRANSPARENT (FOOT COLORED)</t>
        </is>
      </c>
      <c r="D23" s="18" t="inlineStr">
        <is>
          <t>PALET</t>
        </is>
      </c>
      <c r="E23" s="19" t="n">
        <v>300</v>
      </c>
      <c r="F23" s="20" t="n">
        <v>0.053</v>
      </c>
      <c r="G23" s="21">
        <f>E23*12.5/1000</f>
        <v/>
      </c>
      <c r="H23" s="15" t="n">
        <v>6</v>
      </c>
      <c r="I23" s="15" t="n">
        <v>6</v>
      </c>
      <c r="J23" s="15">
        <f>IF(OR(H23="",I23=""),0,H23*I23)</f>
        <v/>
      </c>
      <c r="K23" s="22" t="n">
        <v>100</v>
      </c>
      <c r="L23" s="23" t="n">
        <v>0</v>
      </c>
      <c r="M23" s="24">
        <f>L23*E23</f>
        <v/>
      </c>
      <c r="N23" s="25">
        <f>IF(D23="DOKME",0,IF(J23=0,0,L23/J23))</f>
        <v/>
      </c>
      <c r="O23" s="26">
        <f>IF(D23="DOKME",0,IF(H23=0,0,L23/H23))</f>
        <v/>
      </c>
      <c r="P23" s="27">
        <f>L23*G23</f>
        <v/>
      </c>
      <c r="Q23" s="28">
        <f>L23*F23</f>
        <v/>
      </c>
      <c r="R23" s="29">
        <f>IF(K23="",0,M23/1000*K23)</f>
        <v/>
      </c>
      <c r="S23" s="30" t="inlineStr">
        <is>
          <t>GLASS</t>
        </is>
      </c>
    </row>
    <row r="24">
      <c r="A24" s="15" t="n">
        <v>18</v>
      </c>
      <c r="B24" s="16" t="inlineStr">
        <is>
          <t>170 CC MINI WINE GLASS</t>
        </is>
      </c>
      <c r="C24" s="17" t="inlineStr">
        <is>
          <t>TRANSPARENT (FOOT COLORED)</t>
        </is>
      </c>
      <c r="D24" s="18" t="inlineStr">
        <is>
          <t>PALET</t>
        </is>
      </c>
      <c r="E24" s="19" t="n">
        <v>300</v>
      </c>
      <c r="F24" s="20" t="n">
        <v>0.049</v>
      </c>
      <c r="G24" s="21">
        <f>E24*12.5/1000</f>
        <v/>
      </c>
      <c r="H24" s="15" t="n">
        <v>6</v>
      </c>
      <c r="I24" s="15" t="n">
        <v>10</v>
      </c>
      <c r="J24" s="15">
        <f>IF(OR(H24="",I24=""),0,H24*I24)</f>
        <v/>
      </c>
      <c r="K24" s="22" t="n">
        <v>100</v>
      </c>
      <c r="L24" s="23" t="n">
        <v>0</v>
      </c>
      <c r="M24" s="24">
        <f>L24*E24</f>
        <v/>
      </c>
      <c r="N24" s="25">
        <f>IF(D24="DOKME",0,IF(J24=0,0,L24/J24))</f>
        <v/>
      </c>
      <c r="O24" s="26">
        <f>IF(D24="DOKME",0,IF(H24=0,0,L24/H24))</f>
        <v/>
      </c>
      <c r="P24" s="27">
        <f>L24*G24</f>
        <v/>
      </c>
      <c r="Q24" s="28">
        <f>L24*F24</f>
        <v/>
      </c>
      <c r="R24" s="29">
        <f>IF(K24="",0,M24/1000*K24)</f>
        <v/>
      </c>
      <c r="S24" s="30" t="inlineStr">
        <is>
          <t>GLASS</t>
        </is>
      </c>
    </row>
    <row r="25">
      <c r="A25" s="15" t="n">
        <v>19</v>
      </c>
      <c r="B25" s="16" t="inlineStr">
        <is>
          <t>185 CC WINE GLASS</t>
        </is>
      </c>
      <c r="C25" s="17" t="inlineStr">
        <is>
          <t>TRANSPARENT (FOOT COLORED)</t>
        </is>
      </c>
      <c r="D25" s="18" t="inlineStr">
        <is>
          <t>PALET</t>
        </is>
      </c>
      <c r="E25" s="19" t="n">
        <v>300</v>
      </c>
      <c r="F25" s="20" t="n">
        <v>0.067</v>
      </c>
      <c r="G25" s="21">
        <f>E25*14.5/1000</f>
        <v/>
      </c>
      <c r="H25" s="15" t="n">
        <v>6</v>
      </c>
      <c r="I25" s="15" t="n">
        <v>7</v>
      </c>
      <c r="J25" s="15">
        <f>IF(OR(H25="",I25=""),0,H25*I25)</f>
        <v/>
      </c>
      <c r="K25" s="22" t="n">
        <v>110</v>
      </c>
      <c r="L25" s="23" t="n">
        <v>0</v>
      </c>
      <c r="M25" s="24">
        <f>L25*E25</f>
        <v/>
      </c>
      <c r="N25" s="25">
        <f>IF(D25="DOKME",0,IF(J25=0,0,L25/J25))</f>
        <v/>
      </c>
      <c r="O25" s="26">
        <f>IF(D25="DOKME",0,IF(H25=0,0,L25/H25))</f>
        <v/>
      </c>
      <c r="P25" s="27">
        <f>L25*G25</f>
        <v/>
      </c>
      <c r="Q25" s="28">
        <f>L25*F25</f>
        <v/>
      </c>
      <c r="R25" s="29">
        <f>IF(K25="",0,M25/1000*K25)</f>
        <v/>
      </c>
      <c r="S25" s="30" t="inlineStr">
        <is>
          <t>GLASS</t>
        </is>
      </c>
    </row>
    <row r="26">
      <c r="A26" s="15" t="n">
        <v>20</v>
      </c>
      <c r="B26" s="16" t="inlineStr">
        <is>
          <t>PIZZA TRIPOD</t>
        </is>
      </c>
      <c r="C26" s="17" t="inlineStr">
        <is>
          <t>WHITE</t>
        </is>
      </c>
      <c r="D26" s="18" t="inlineStr">
        <is>
          <t>PALET</t>
        </is>
      </c>
      <c r="E26" s="19" t="n">
        <v>1000</v>
      </c>
      <c r="F26" s="20" t="n">
        <v>0.027</v>
      </c>
      <c r="G26" s="21">
        <f>E26*1.85/1000</f>
        <v/>
      </c>
      <c r="H26" s="15" t="n">
        <v>9</v>
      </c>
      <c r="I26" s="15" t="n">
        <v>11</v>
      </c>
      <c r="J26" s="15">
        <f>IF(OR(H26="",I26=""),0,H26*I26)</f>
        <v/>
      </c>
      <c r="K26" s="22" t="n">
        <v>8.5</v>
      </c>
      <c r="L26" s="23" t="n">
        <v>0</v>
      </c>
      <c r="M26" s="24">
        <f>L26*E26</f>
        <v/>
      </c>
      <c r="N26" s="25">
        <f>IF(D26="DOKME",0,IF(J26=0,0,L26/J26))</f>
        <v/>
      </c>
      <c r="O26" s="26">
        <f>IF(D26="DOKME",0,IF(H26=0,0,L26/H26))</f>
        <v/>
      </c>
      <c r="P26" s="27">
        <f>L26*G26</f>
        <v/>
      </c>
      <c r="Q26" s="28">
        <f>L26*F26</f>
        <v/>
      </c>
      <c r="R26" s="29">
        <f>IF(K26="",0,M26/1000*K26)</f>
        <v/>
      </c>
      <c r="S26" s="30" t="inlineStr">
        <is>
          <t>PIZZA</t>
        </is>
      </c>
    </row>
    <row r="27">
      <c r="A27" s="15" t="n">
        <v>21</v>
      </c>
      <c r="B27" s="16" t="inlineStr">
        <is>
          <t>PANDA ICE CREAM SPOON</t>
        </is>
      </c>
      <c r="C27" s="17" t="inlineStr">
        <is>
          <t>WHITE</t>
        </is>
      </c>
      <c r="D27" s="18" t="inlineStr">
        <is>
          <t>PALET</t>
        </is>
      </c>
      <c r="E27" s="19" t="n">
        <v>8000</v>
      </c>
      <c r="F27" s="20" t="n">
        <v>0.047</v>
      </c>
      <c r="G27" s="21">
        <f>E27*0.9/1000</f>
        <v/>
      </c>
      <c r="H27" s="15" t="n">
        <v>7</v>
      </c>
      <c r="I27" s="15" t="n">
        <v>10</v>
      </c>
      <c r="J27" s="15">
        <f>IF(OR(H27="",I27=""),0,H27*I27)</f>
        <v/>
      </c>
      <c r="K27" s="31" t="n"/>
      <c r="L27" s="23" t="n">
        <v>0</v>
      </c>
      <c r="M27" s="24">
        <f>L27*E27</f>
        <v/>
      </c>
      <c r="N27" s="25">
        <f>IF(D27="DOKME",0,IF(J27=0,0,L27/J27))</f>
        <v/>
      </c>
      <c r="O27" s="26">
        <f>IF(D27="DOKME",0,IF(H27=0,0,L27/H27))</f>
        <v/>
      </c>
      <c r="P27" s="27">
        <f>L27*G27</f>
        <v/>
      </c>
      <c r="Q27" s="28">
        <f>L27*F27</f>
        <v/>
      </c>
      <c r="R27" s="29">
        <f>IF(K27="",0,M27/1000*K27)</f>
        <v/>
      </c>
      <c r="S27" s="30" t="inlineStr">
        <is>
          <t>ICE CREAM</t>
        </is>
      </c>
    </row>
    <row r="28">
      <c r="A28" s="15" t="n">
        <v>22</v>
      </c>
      <c r="B28" s="16" t="inlineStr">
        <is>
          <t>SHOT GLASS</t>
        </is>
      </c>
      <c r="C28" s="17" t="inlineStr">
        <is>
          <t>TRANSPARENT</t>
        </is>
      </c>
      <c r="D28" s="32" t="inlineStr">
        <is>
          <t>DOKME</t>
        </is>
      </c>
      <c r="E28" s="19" t="n">
        <v>2000</v>
      </c>
      <c r="F28" s="20" t="n">
        <v>0.035</v>
      </c>
      <c r="G28" s="21">
        <f>E28*3.2/1000</f>
        <v/>
      </c>
      <c r="H28" s="15" t="n"/>
      <c r="I28" s="15" t="n"/>
      <c r="J28" s="15">
        <f>IF(OR(H28="",I28=""),0,H28*I28)</f>
        <v/>
      </c>
      <c r="K28" s="31" t="n"/>
      <c r="L28" s="23" t="n">
        <v>0</v>
      </c>
      <c r="M28" s="24">
        <f>L28*E28</f>
        <v/>
      </c>
      <c r="N28" s="25">
        <f>IF(D28="DOKME",0,IF(J28=0,0,L28/J28))</f>
        <v/>
      </c>
      <c r="O28" s="26">
        <f>IF(D28="DOKME",0,IF(H28=0,0,L28/H28))</f>
        <v/>
      </c>
      <c r="P28" s="27">
        <f>L28*G28</f>
        <v/>
      </c>
      <c r="Q28" s="28">
        <f>L28*F28</f>
        <v/>
      </c>
      <c r="R28" s="29">
        <f>IF(K28="",0,M28/1000*K28)</f>
        <v/>
      </c>
      <c r="S28" s="30" t="inlineStr">
        <is>
          <t>GLASS</t>
        </is>
      </c>
    </row>
    <row r="29">
      <c r="A29" s="15" t="n">
        <v>23</v>
      </c>
      <c r="B29" s="16" t="inlineStr">
        <is>
          <t>95 MM FLAT ICE CREAM SPOON</t>
        </is>
      </c>
      <c r="C29" s="17" t="inlineStr">
        <is>
          <t>COLORED (YELLOW/RED/BLACK)</t>
        </is>
      </c>
      <c r="D29" s="32" t="inlineStr">
        <is>
          <t>DOKME</t>
        </is>
      </c>
      <c r="E29" s="19" t="n">
        <v>18000</v>
      </c>
      <c r="F29" s="20" t="n">
        <v>0.083</v>
      </c>
      <c r="G29" s="21">
        <f>E29*1.25/1000</f>
        <v/>
      </c>
      <c r="H29" s="15" t="n"/>
      <c r="I29" s="15" t="n"/>
      <c r="J29" s="15">
        <f>IF(OR(H29="",I29=""),0,H29*I29)</f>
        <v/>
      </c>
      <c r="K29" s="31" t="n"/>
      <c r="L29" s="23" t="n">
        <v>0</v>
      </c>
      <c r="M29" s="24">
        <f>L29*E29</f>
        <v/>
      </c>
      <c r="N29" s="25">
        <f>IF(D29="DOKME",0,IF(J29=0,0,L29/J29))</f>
        <v/>
      </c>
      <c r="O29" s="26">
        <f>IF(D29="DOKME",0,IF(H29=0,0,L29/H29))</f>
        <v/>
      </c>
      <c r="P29" s="27">
        <f>L29*G29</f>
        <v/>
      </c>
      <c r="Q29" s="28">
        <f>L29*F29</f>
        <v/>
      </c>
      <c r="R29" s="29">
        <f>IF(K29="",0,M29/1000*K29)</f>
        <v/>
      </c>
      <c r="S29" s="30" t="inlineStr">
        <is>
          <t>ICE CREAM</t>
        </is>
      </c>
    </row>
    <row r="30" ht="20" customHeight="1">
      <c r="A30" s="33" t="inlineStr">
        <is>
          <t>TOPLAM / GRAND TOTAL</t>
        </is>
      </c>
      <c r="L30" s="34">
        <f>SUM(L7:L29)</f>
        <v/>
      </c>
      <c r="M30" s="34">
        <f>SUM(M7:M29)</f>
        <v/>
      </c>
      <c r="N30" s="35">
        <f>SUM(N7:N29)</f>
        <v/>
      </c>
      <c r="O30" s="36" t="n"/>
      <c r="P30" s="37">
        <f>SUM(P7:P29)</f>
        <v/>
      </c>
      <c r="Q30" s="38">
        <f>SUM(Q7:Q29)</f>
        <v/>
      </c>
      <c r="R30" s="39">
        <f>SUM(R7:R29)</f>
        <v/>
      </c>
    </row>
    <row r="31" ht="46" customHeight="1">
      <c r="A31" s="40" t="inlineStr">
        <is>
          <t>*** PALET urunlerinde SIPARIS (KOLI), KOLI/SIRA (H) degerinin KATI olmalidir (1 palet sirasi = 1 tam sira; or. Diamond Fork 12/sira -&gt; 12,24,36,48...). DOKME (palet ustu dokme / bulk) urunlerinde her adet girilebilir, palet olusturmaz, sadece HACME katkida bulunur. Fiyati bilinmeyen ekstra urunlerde FIYAT/1000 hucresi saridir - elle giriniz.</t>
        </is>
      </c>
    </row>
  </sheetData>
  <mergeCells count="12">
    <mergeCell ref="L3:M3"/>
    <mergeCell ref="P3:Q3"/>
    <mergeCell ref="N3:O3"/>
    <mergeCell ref="A30:K30"/>
    <mergeCell ref="L1:M1"/>
    <mergeCell ref="P1:Q1"/>
    <mergeCell ref="A1:E4"/>
    <mergeCell ref="A31:S31"/>
    <mergeCell ref="R3:S3"/>
    <mergeCell ref="R1:S1"/>
    <mergeCell ref="N1:O1"/>
    <mergeCell ref="G1:I1"/>
  </mergeCells>
  <dataValidations count="2">
    <dataValidation sqref="L7:L29" showDropDown="0" showInputMessage="1" showErrorMessage="1" allowBlank="1" errorTitle="GECERSIZ ADET" error="PALET urununde sayi KOLI/SIRA (H) katindan olmali (or. 12'nin katlari)." promptTitle="SIPARIS (KOLI)" prompt="PALET urun: KOLI cinsinden, KOLI/SIRA (H) KATI girin (or. 12,24,36,48).&#10;DOKME urun: istediginiz adet - palet olusturmaz, sadece hacme katilir." type="custom">
      <formula1>=IF(D7="DOKME",L7&gt;=0,AND(L7&gt;=0,MOD(L7,H7)=0))</formula1>
    </dataValidation>
    <dataValidation sqref="D7:D29" showDropDown="0" showInputMessage="0" showErrorMessage="0" allowBlank="0" type="list">
      <formula1>"PALET,DOKME"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1" customWidth="1" min="4" max="4"/>
    <col width="15" customWidth="1" min="5" max="5"/>
    <col width="14" customWidth="1" min="6" max="6"/>
    <col width="12" customWidth="1" min="7" max="7"/>
    <col hidden="1" width="13" customWidth="1" min="9" max="9"/>
  </cols>
  <sheetData>
    <row r="1">
      <c r="A1" s="41" t="inlineStr">
        <is>
          <t>PALET &amp; TIR OZETI / PALLET &amp; TRUCK SUMMARY</t>
        </is>
      </c>
    </row>
    <row r="2"/>
    <row r="3">
      <c r="A3" s="42" t="inlineStr">
        <is>
          <t>Yarim paletler ONCELIKLE ayni urun ailesi icinde birlestirilir (Diamond'lar Diamond'larla, Premium'lar Premium'larla). DOKME urunler palet olusturmaz; 'palet ustu dokme' olarak mevcut paletlerin ustune yuklenir, sadece hacme katkida bulunur. 'GERCEK PALET' = her ailenin palet-esdegerinin yukari yuvarlanmisi.</t>
        </is>
      </c>
    </row>
    <row r="4"/>
    <row r="6" ht="30" customHeight="1">
      <c r="A6" s="10" t="n"/>
      <c r="B6" s="10" t="n"/>
      <c r="C6" s="10" t="n"/>
      <c r="D6" s="10" t="n"/>
      <c r="E6" s="10" t="n"/>
      <c r="F6" s="10" t="n"/>
      <c r="G6" s="10" t="n"/>
    </row>
    <row r="7">
      <c r="A7" s="16" t="inlineStr">
        <is>
          <t>DIAMOND CUTLERY</t>
        </is>
      </c>
      <c r="B7" s="43">
        <f>SUMIFS('SIPARIS - ORDER'!$L$7:$L$29,'SIPARIS - ORDER'!$S$7:$S$29,$I7,'SIPARIS - ORDER'!$D$7:$D$29,"PALET")</f>
        <v/>
      </c>
      <c r="C7" s="44">
        <f>SUMIF('SIPARIS - ORDER'!$S$7:$S$29,$I7,'SIPARIS - ORDER'!$N$7:$N$29)</f>
        <v/>
      </c>
      <c r="D7" s="45">
        <f>INT(C7)</f>
        <v/>
      </c>
      <c r="E7" s="46">
        <f>IF(C7=0,0,CEILING(C7,1))</f>
        <v/>
      </c>
      <c r="F7" s="47">
        <f>SUMIF('SIPARIS - ORDER'!$S$7:$S$29,$I7,'SIPARIS - ORDER'!$P$7:$P$29)</f>
        <v/>
      </c>
      <c r="G7" s="48">
        <f>SUMIF('SIPARIS - ORDER'!$S$7:$S$29,$I7,'SIPARIS - ORDER'!$Q$7:$Q$29)</f>
        <v/>
      </c>
      <c r="I7" t="inlineStr">
        <is>
          <t>DIAMOND</t>
        </is>
      </c>
    </row>
    <row r="8">
      <c r="A8" s="16" t="inlineStr">
        <is>
          <t>PREMIUM CUTLERY</t>
        </is>
      </c>
      <c r="B8" s="43">
        <f>SUMIFS('SIPARIS - ORDER'!$L$7:$L$29,'SIPARIS - ORDER'!$S$7:$S$29,$I8,'SIPARIS - ORDER'!$D$7:$D$29,"PALET")</f>
        <v/>
      </c>
      <c r="C8" s="44">
        <f>SUMIF('SIPARIS - ORDER'!$S$7:$S$29,$I8,'SIPARIS - ORDER'!$N$7:$N$29)</f>
        <v/>
      </c>
      <c r="D8" s="45">
        <f>INT(C8)</f>
        <v/>
      </c>
      <c r="E8" s="46">
        <f>IF(C8=0,0,CEILING(C8,1))</f>
        <v/>
      </c>
      <c r="F8" s="47">
        <f>SUMIF('SIPARIS - ORDER'!$S$7:$S$29,$I8,'SIPARIS - ORDER'!$P$7:$P$29)</f>
        <v/>
      </c>
      <c r="G8" s="48">
        <f>SUMIF('SIPARIS - ORDER'!$S$7:$S$29,$I8,'SIPARIS - ORDER'!$Q$7:$Q$29)</f>
        <v/>
      </c>
      <c r="I8" t="inlineStr">
        <is>
          <t>PREMIUM</t>
        </is>
      </c>
    </row>
    <row r="9">
      <c r="A9" s="16" t="inlineStr">
        <is>
          <t>SMART FORK</t>
        </is>
      </c>
      <c r="B9" s="43">
        <f>SUMIFS('SIPARIS - ORDER'!$L$7:$L$29,'SIPARIS - ORDER'!$S$7:$S$29,$I9,'SIPARIS - ORDER'!$D$7:$D$29,"PALET")</f>
        <v/>
      </c>
      <c r="C9" s="44">
        <f>SUMIF('SIPARIS - ORDER'!$S$7:$S$29,$I9,'SIPARIS - ORDER'!$N$7:$N$29)</f>
        <v/>
      </c>
      <c r="D9" s="45">
        <f>INT(C9)</f>
        <v/>
      </c>
      <c r="E9" s="46">
        <f>IF(C9=0,0,CEILING(C9,1))</f>
        <v/>
      </c>
      <c r="F9" s="47">
        <f>SUMIF('SIPARIS - ORDER'!$S$7:$S$29,$I9,'SIPARIS - ORDER'!$P$7:$P$29)</f>
        <v/>
      </c>
      <c r="G9" s="48">
        <f>SUMIF('SIPARIS - ORDER'!$S$7:$S$29,$I9,'SIPARIS - ORDER'!$Q$7:$Q$29)</f>
        <v/>
      </c>
      <c r="I9" t="inlineStr">
        <is>
          <t>SMART</t>
        </is>
      </c>
    </row>
    <row r="10">
      <c r="A10" s="16" t="inlineStr">
        <is>
          <t>ICE CREAM SPOON</t>
        </is>
      </c>
      <c r="B10" s="43">
        <f>SUMIFS('SIPARIS - ORDER'!$L$7:$L$29,'SIPARIS - ORDER'!$S$7:$S$29,$I10,'SIPARIS - ORDER'!$D$7:$D$29,"PALET")</f>
        <v/>
      </c>
      <c r="C10" s="44">
        <f>SUMIF('SIPARIS - ORDER'!$S$7:$S$29,$I10,'SIPARIS - ORDER'!$N$7:$N$29)</f>
        <v/>
      </c>
      <c r="D10" s="45">
        <f>INT(C10)</f>
        <v/>
      </c>
      <c r="E10" s="46">
        <f>IF(C10=0,0,CEILING(C10,1))</f>
        <v/>
      </c>
      <c r="F10" s="47">
        <f>SUMIF('SIPARIS - ORDER'!$S$7:$S$29,$I10,'SIPARIS - ORDER'!$P$7:$P$29)</f>
        <v/>
      </c>
      <c r="G10" s="48">
        <f>SUMIF('SIPARIS - ORDER'!$S$7:$S$29,$I10,'SIPARIS - ORDER'!$Q$7:$Q$29)</f>
        <v/>
      </c>
      <c r="I10" t="inlineStr">
        <is>
          <t>ICE CREAM</t>
        </is>
      </c>
    </row>
    <row r="11">
      <c r="A11" s="16" t="inlineStr">
        <is>
          <t>GLASSES / CUPS</t>
        </is>
      </c>
      <c r="B11" s="43">
        <f>SUMIFS('SIPARIS - ORDER'!$L$7:$L$29,'SIPARIS - ORDER'!$S$7:$S$29,$I11,'SIPARIS - ORDER'!$D$7:$D$29,"PALET")</f>
        <v/>
      </c>
      <c r="C11" s="44">
        <f>SUMIF('SIPARIS - ORDER'!$S$7:$S$29,$I11,'SIPARIS - ORDER'!$N$7:$N$29)</f>
        <v/>
      </c>
      <c r="D11" s="45">
        <f>INT(C11)</f>
        <v/>
      </c>
      <c r="E11" s="46">
        <f>IF(C11=0,0,CEILING(C11,1))</f>
        <v/>
      </c>
      <c r="F11" s="47">
        <f>SUMIF('SIPARIS - ORDER'!$S$7:$S$29,$I11,'SIPARIS - ORDER'!$P$7:$P$29)</f>
        <v/>
      </c>
      <c r="G11" s="48">
        <f>SUMIF('SIPARIS - ORDER'!$S$7:$S$29,$I11,'SIPARIS - ORDER'!$Q$7:$Q$29)</f>
        <v/>
      </c>
      <c r="I11" t="inlineStr">
        <is>
          <t>GLASS</t>
        </is>
      </c>
    </row>
    <row r="12">
      <c r="A12" s="16" t="inlineStr">
        <is>
          <t>PIZZA TRIPOD</t>
        </is>
      </c>
      <c r="B12" s="43">
        <f>SUMIFS('SIPARIS - ORDER'!$L$7:$L$29,'SIPARIS - ORDER'!$S$7:$S$29,$I12,'SIPARIS - ORDER'!$D$7:$D$29,"PALET")</f>
        <v/>
      </c>
      <c r="C12" s="44">
        <f>SUMIF('SIPARIS - ORDER'!$S$7:$S$29,$I12,'SIPARIS - ORDER'!$N$7:$N$29)</f>
        <v/>
      </c>
      <c r="D12" s="45">
        <f>INT(C12)</f>
        <v/>
      </c>
      <c r="E12" s="46">
        <f>IF(C12=0,0,CEILING(C12,1))</f>
        <v/>
      </c>
      <c r="F12" s="47">
        <f>SUMIF('SIPARIS - ORDER'!$S$7:$S$29,$I12,'SIPARIS - ORDER'!$P$7:$P$29)</f>
        <v/>
      </c>
      <c r="G12" s="48">
        <f>SUMIF('SIPARIS - ORDER'!$S$7:$S$29,$I12,'SIPARIS - ORDER'!$Q$7:$Q$29)</f>
        <v/>
      </c>
      <c r="I12" t="inlineStr">
        <is>
          <t>PIZZA</t>
        </is>
      </c>
    </row>
    <row r="13">
      <c r="A13" s="49" t="inlineStr">
        <is>
          <t>PALET USTU DOKME / BULK</t>
        </is>
      </c>
      <c r="B13" s="50">
        <f>SUMIF('SIPARIS - ORDER'!$D$7:$D$29,"DOKME",'SIPARIS - ORDER'!$L$7:$L$29)</f>
        <v/>
      </c>
      <c r="C13" s="51" t="n">
        <v>0</v>
      </c>
      <c r="D13" s="52" t="n">
        <v>0</v>
      </c>
      <c r="E13" s="52" t="n">
        <v>0</v>
      </c>
      <c r="F13" s="53">
        <f>SUMIF('SIPARIS - ORDER'!$D$7:$D$29,"DOKME",'SIPARIS - ORDER'!$P$7:$P$29)</f>
        <v/>
      </c>
      <c r="G13" s="54">
        <f>SUMIF('SIPARIS - ORDER'!$D$7:$D$29,"DOKME",'SIPARIS - ORDER'!$Q$7:$Q$29)</f>
        <v/>
      </c>
    </row>
    <row r="14">
      <c r="A14" s="55" t="inlineStr">
        <is>
          <t>TOPLAM / GRAND TOTAL</t>
        </is>
      </c>
      <c r="B14" s="34">
        <f>SUM(B7:B13)</f>
        <v/>
      </c>
      <c r="C14" s="35">
        <f>SUM(C7:C13)</f>
        <v/>
      </c>
      <c r="D14" s="56">
        <f>SUM(D7:D13)</f>
        <v/>
      </c>
      <c r="E14" s="56">
        <f>SUM(E7:E13)</f>
        <v/>
      </c>
      <c r="F14" s="37">
        <f>SUM(F7:F13)</f>
        <v/>
      </c>
      <c r="G14" s="38">
        <f>SUM(G7:G13)</f>
        <v/>
      </c>
    </row>
    <row r="16" ht="20" customHeight="1">
      <c r="A16" s="57" t="inlineStr">
        <is>
          <t>TIR / TRUCK YUKLEME (hacme gore / by volume)</t>
        </is>
      </c>
    </row>
    <row r="17">
      <c r="A17" s="58" t="inlineStr">
        <is>
          <t>TIR KAPASITESI (m3):</t>
        </is>
      </c>
      <c r="B17" s="59" t="n"/>
      <c r="C17" s="59" t="n"/>
      <c r="D17" s="59" t="n"/>
      <c r="E17" s="60">
        <f>'SIPARIS - ORDER'!$G$3</f>
        <v/>
      </c>
    </row>
    <row r="18">
      <c r="A18" s="58" t="inlineStr">
        <is>
          <t>TOPLAM SIPARIS HACMI (m3):</t>
        </is>
      </c>
      <c r="B18" s="59" t="n"/>
      <c r="C18" s="59" t="n"/>
      <c r="D18" s="59" t="n"/>
      <c r="E18" s="60">
        <f>G14</f>
        <v/>
      </c>
    </row>
    <row r="19">
      <c r="A19" s="58" t="inlineStr">
        <is>
          <t>TIR DOLULUK ORANI:</t>
        </is>
      </c>
      <c r="B19" s="59" t="n"/>
      <c r="C19" s="59" t="n"/>
      <c r="D19" s="59" t="n"/>
      <c r="E19" s="61">
        <f>IF(E17=0,0,G14/E17)</f>
        <v/>
      </c>
    </row>
    <row r="20">
      <c r="A20" s="58" t="inlineStr">
        <is>
          <t>GEREKEN TIR ADEDI:</t>
        </is>
      </c>
      <c r="B20" s="59" t="n"/>
      <c r="C20" s="59" t="n"/>
      <c r="D20" s="59" t="n"/>
      <c r="E20" s="62">
        <f>IF(E17=0,0,CEILING(G14/E17,1))</f>
        <v/>
      </c>
    </row>
    <row r="21">
      <c r="A21" s="58" t="inlineStr">
        <is>
          <t>SON TIR'DA BOS HACIM (m3):</t>
        </is>
      </c>
      <c r="B21" s="59" t="n"/>
      <c r="C21" s="59" t="n"/>
      <c r="D21" s="59" t="n"/>
      <c r="E21" s="60">
        <f>IF(E17=0,0,E20*E17-G14)</f>
        <v/>
      </c>
    </row>
    <row r="23">
      <c r="A23" s="63" t="inlineStr">
        <is>
          <t>NOT: TIR dolulugu HACME gore hesaplanir (NAVIPACK standart = 90 m3; cift dorse = 120 m3). DOKME urunlerin hacmi toplama dahildir ancak palet sayisina eklenmez (mevcut paletlerin ustune yuklenir). Farkli aileler yalnizca koli yukseklikleri uyumluysa ayni palette birlestirilebilir. Nihai istifleme fabrikada teyit edilir.</t>
        </is>
      </c>
    </row>
    <row r="24"/>
    <row r="25"/>
    <row r="26"/>
  </sheetData>
  <mergeCells count="14">
    <mergeCell ref="A17:D17"/>
    <mergeCell ref="A18:D18"/>
    <mergeCell ref="E19:G19"/>
    <mergeCell ref="A1:G2"/>
    <mergeCell ref="A23:G26"/>
    <mergeCell ref="A3:G4"/>
    <mergeCell ref="A20:D20"/>
    <mergeCell ref="A21:D21"/>
    <mergeCell ref="E17:G17"/>
    <mergeCell ref="A16:G16"/>
    <mergeCell ref="E18:G18"/>
    <mergeCell ref="A19:D19"/>
    <mergeCell ref="E21:G21"/>
    <mergeCell ref="E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 ht="24" customHeight="1">
      <c r="B1" s="64" t="inlineStr">
        <is>
          <t>NAVIPACK - SIPARIS &amp; HACIM HESAPLAMA / ORDER &amp; VOLUME CALCULATOR (v3)</t>
        </is>
      </c>
    </row>
    <row r="2">
      <c r="B2" s="65" t="inlineStr"/>
    </row>
    <row r="3">
      <c r="B3" s="66" t="inlineStr">
        <is>
          <t>NASIL KULLANILIR / HOW TO USE</t>
        </is>
      </c>
    </row>
    <row r="4">
      <c r="B4" s="65" t="inlineStr">
        <is>
          <t>1) 'SIPARIS - ORDER' sayfasinda sari 'SIPARIS (KOLI)' sutununu (L) doldurun.</t>
        </is>
      </c>
    </row>
    <row r="5">
      <c r="B5" s="65" t="inlineStr">
        <is>
          <t xml:space="preserve">   Ustten Musteri, Tarih ve TIR Kapasitesini (varsayilan 90 m3) girin.</t>
        </is>
      </c>
    </row>
    <row r="6">
      <c r="B6" s="65" t="inlineStr">
        <is>
          <t>2) Ust bantta KPI: Toplam Hacim, TIR Doluluk %, Gereken TIR adedi, Toplam Tutar.</t>
        </is>
      </c>
    </row>
    <row r="7">
      <c r="B7" s="65" t="inlineStr">
        <is>
          <t>3) 'PALET &amp; TIR OZETI' paletleri aile bazinda birlestirir + TIR dolulugunu gosterir.</t>
        </is>
      </c>
    </row>
    <row r="8">
      <c r="B8" s="65" t="inlineStr"/>
    </row>
    <row r="9">
      <c r="B9" s="66" t="inlineStr">
        <is>
          <t>YUKLEME TIPI: PALET vs DOKME</t>
        </is>
      </c>
    </row>
    <row r="10">
      <c r="B10" s="65" t="inlineStr">
        <is>
          <t>PALET = paletli yuklenir. SIPARIS, KOLI/SIRA (H) degerinin KATI olmalidir (tam sira).</t>
        </is>
      </c>
    </row>
    <row r="11">
      <c r="B11" s="65" t="inlineStr">
        <is>
          <t>DOKME = 'palet ustu dokme' / bulk. Serbest adet girilir; palet olusturmaz, sadece HACME</t>
        </is>
      </c>
    </row>
    <row r="12">
      <c r="B12" s="65" t="inlineStr">
        <is>
          <t xml:space="preserve">   katkida bulunur (mevcut paletlerin ustune / TIR bosluguna yuklenir). Or. 95mm Flat Kasik, Shot Glass.</t>
        </is>
      </c>
    </row>
    <row r="13">
      <c r="B13" s="65" t="inlineStr"/>
    </row>
    <row r="14">
      <c r="B14" s="66" t="inlineStr">
        <is>
          <t>NEDEN KOLI/SIRA KATLARI?</t>
        </is>
      </c>
    </row>
    <row r="15">
      <c r="B15" s="65" t="inlineStr">
        <is>
          <t>Bir palet sirasina farkli urun dizilirse koli yukseklikleri farkli olur, palet dengesiz yukselir.</t>
        </is>
      </c>
    </row>
    <row r="16">
      <c r="B16" s="65" t="inlineStr">
        <is>
          <t>Bu yuzden her sira TEK urunle DOLU olmali; siparis tam sira (KOLI/SIRA kati) girilir.</t>
        </is>
      </c>
    </row>
    <row r="17">
      <c r="B17" s="65" t="inlineStr">
        <is>
          <t>Ornek: Diamond Fork 12/sira -&gt; 12, 24, 36, 48 ... (45 yerine 48).</t>
        </is>
      </c>
    </row>
    <row r="18">
      <c r="B18" s="65" t="inlineStr"/>
    </row>
    <row r="19">
      <c r="B19" s="66" t="inlineStr">
        <is>
          <t>TIR / TRUCK</t>
        </is>
      </c>
    </row>
    <row r="20">
      <c r="B20" s="65" t="inlineStr">
        <is>
          <t>NAVIPACK standart TIR = 90 m3 (dolum HACME gore). Cift dorse TIR = 120 m3.</t>
        </is>
      </c>
    </row>
    <row r="21">
      <c r="B21" s="65" t="inlineStr">
        <is>
          <t>FERPROM gibi TAMAMEN dokme yukleyen firmalarda palet yoktur; ayri 'FERPROM Dokme' dosyasina bakin.</t>
        </is>
      </c>
    </row>
    <row r="22">
      <c r="B22" s="65" t="inlineStr"/>
    </row>
    <row r="23">
      <c r="B23" s="66" t="inlineStr">
        <is>
          <t>EKSTRA URUNLER (teklifte fiyat yok)</t>
        </is>
      </c>
    </row>
    <row r="24">
      <c r="B24" s="65" t="inlineStr">
        <is>
          <t>PANDA / 95mm FLAT / SHOT GLASS: NAVIPACK volume tablosunda var, fiyat teklifinde yok.</t>
        </is>
      </c>
    </row>
    <row r="25">
      <c r="B25" s="65" t="inlineStr">
        <is>
          <t>Bunlarin FIYAT/1000 hucresi sari - siparise gore elle giriniz.</t>
        </is>
      </c>
    </row>
    <row r="26">
      <c r="B26" s="65" t="inlineStr"/>
    </row>
    <row r="27">
      <c r="B27" s="66" t="inlineStr">
        <is>
          <t>HESAPLAMALAR</t>
        </is>
      </c>
    </row>
    <row r="28">
      <c r="B28" s="65" t="inlineStr">
        <is>
          <t>SIPARIS (ADET) = Koli x Adet/Koli | PALET (esdeger)=Koli/(Koli/Palet) | TAM SIRA=Koli/(Koli/Sira)</t>
        </is>
      </c>
    </row>
    <row r="29">
      <c r="B29" s="65" t="inlineStr">
        <is>
          <t>NET AGIRLIK=Koli x (Adet/Koli x gr /1000) | HACIM=Koli x Koli Hacmi | TUTAR=(Adet/1000) x Fiyat</t>
        </is>
      </c>
    </row>
    <row r="30">
      <c r="B30" s="65" t="inlineStr"/>
    </row>
    <row r="31">
      <c r="B31" s="66" t="inlineStr">
        <is>
          <t>RENK KODLARI</t>
        </is>
      </c>
    </row>
    <row r="32">
      <c r="B32" s="65" t="inlineStr">
        <is>
          <t>Sari=veri girisi | Yesil=otomatik sonuc | Turuncu=DOKME/bulk | Gri=referans | Mavi=KPI.</t>
        </is>
      </c>
    </row>
    <row r="33">
      <c r="B33" s="65" t="inlineStr"/>
    </row>
    <row r="34">
      <c r="B34" s="66" t="inlineStr">
        <is>
          <t>KAYNAKLAR</t>
        </is>
      </c>
    </row>
    <row r="35">
      <c r="B35" s="65" t="inlineStr">
        <is>
          <t>NAVIPACK Price Offer 20.06.2026 + Volume Calculation 07.07.2026. TIR: standart 90 m3.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2026-07-20T13:51:54Z</dcterms:created>
  <dcterms:modified xsi:type="dcterms:W3CDTF">2026-07-20T13:51:55Z</dcterms:modified>
</cp:coreProperties>
</file>