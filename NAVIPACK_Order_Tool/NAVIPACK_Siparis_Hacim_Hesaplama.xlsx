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IPARIS - ORDER" sheetId="1" state="visible" r:id="rId1"/>
    <sheet name="PALET &amp; TIR OZETI" sheetId="2" state="visible" r:id="rId2"/>
    <sheet name="ACIKLAMA - NOT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dd.mm.yyyy"/>
    <numFmt numFmtId="165" formatCode="0.000"/>
    <numFmt numFmtId="166" formatCode="#,##0.0"/>
    <numFmt numFmtId="167" formatCode="0.0%"/>
  </numFmts>
  <fonts count="17">
    <font>
      <name val="Calibri"/>
      <family val="2"/>
      <color theme="1"/>
      <sz val="11"/>
      <scheme val="minor"/>
    </font>
    <font>
      <b val="1"/>
      <color rgb="00FFFFFF"/>
      <sz val="13"/>
    </font>
    <font>
      <b val="1"/>
      <sz val="9"/>
    </font>
    <font>
      <b val="1"/>
    </font>
    <font>
      <b val="1"/>
      <color rgb="00FFFFFF"/>
      <sz val="10"/>
    </font>
    <font>
      <b val="1"/>
      <color rgb="00FFFFFF"/>
      <sz val="9"/>
    </font>
    <font>
      <sz val="9"/>
    </font>
    <font>
      <b val="1"/>
      <color rgb="00FFFFFF"/>
      <sz val="11"/>
    </font>
    <font>
      <b val="1"/>
      <color rgb="001F3864"/>
      <sz val="9"/>
    </font>
    <font>
      <b val="1"/>
      <color rgb="00C00000"/>
      <sz val="12"/>
    </font>
    <font>
      <i val="1"/>
      <color rgb="00C00000"/>
      <sz val="9"/>
    </font>
    <font>
      <i val="1"/>
      <color rgb="00404040"/>
      <sz val="9"/>
    </font>
    <font>
      <b val="1"/>
      <color rgb="00FFFFFF"/>
    </font>
    <font>
      <b val="1"/>
      <sz val="10"/>
    </font>
    <font>
      <b val="1"/>
      <color rgb="00000000"/>
      <sz val="12"/>
    </font>
    <font>
      <sz val="10"/>
    </font>
    <font>
      <b val="1"/>
      <color rgb="001F3864"/>
      <sz val="11"/>
    </font>
  </fonts>
  <fills count="1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305496"/>
      </patternFill>
    </fill>
    <fill>
      <patternFill patternType="solid">
        <fgColor rgb="00BF8F00"/>
      </patternFill>
    </fill>
    <fill>
      <patternFill patternType="solid">
        <fgColor rgb="00548235"/>
      </patternFill>
    </fill>
    <fill>
      <patternFill patternType="solid">
        <fgColor rgb="00A6A6A6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AFAFA"/>
      </patternFill>
    </fill>
    <fill>
      <patternFill patternType="solid">
        <fgColor rgb="00D9E1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833C00"/>
      </patternFill>
    </fill>
    <fill>
      <patternFill patternType="solid">
        <fgColor rgb="00FCE4D6"/>
      </patternFill>
    </fill>
  </fills>
  <borders count="3">
    <border>
      <left/>
      <right/>
      <top/>
      <bottom/>
      <diagonal/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right" vertical="center"/>
    </xf>
    <xf numFmtId="0" fontId="3" fillId="3" borderId="1" applyAlignment="1" pivotButton="0" quotePrefix="0" xfId="0">
      <alignment horizontal="center" vertical="center"/>
    </xf>
    <xf numFmtId="0" fontId="8" fillId="12" borderId="2" applyAlignment="1" pivotButton="0" quotePrefix="0" xfId="0">
      <alignment horizontal="center" vertical="center" wrapText="1"/>
    </xf>
    <xf numFmtId="165" fontId="9" fillId="13" borderId="1" applyAlignment="1" pivotButton="0" quotePrefix="0" xfId="0">
      <alignment horizontal="center" vertical="center"/>
    </xf>
    <xf numFmtId="167" fontId="9" fillId="1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1" fontId="9" fillId="13" borderId="1" applyAlignment="1" pivotButton="0" quotePrefix="0" xfId="0">
      <alignment horizontal="center" vertical="center"/>
    </xf>
    <xf numFmtId="4" fontId="9" fillId="13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 wrapText="1"/>
    </xf>
    <xf numFmtId="0" fontId="4" fillId="5" borderId="2" applyAlignment="1" pivotButton="0" quotePrefix="0" xfId="0">
      <alignment horizontal="center" vertical="center" wrapText="1"/>
    </xf>
    <xf numFmtId="0" fontId="4" fillId="6" borderId="2" applyAlignment="1" pivotButton="0" quotePrefix="0" xfId="0">
      <alignment horizontal="center" vertical="center" wrapText="1"/>
    </xf>
    <xf numFmtId="0" fontId="5" fillId="7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/>
    </xf>
    <xf numFmtId="0" fontId="3" fillId="0" borderId="2" pivotButton="0" quotePrefix="0" xfId="0"/>
    <xf numFmtId="0" fontId="6" fillId="0" borderId="2" applyAlignment="1" pivotButton="0" quotePrefix="0" xfId="0">
      <alignment vertical="center" wrapText="1"/>
    </xf>
    <xf numFmtId="3" fontId="0" fillId="0" borderId="2" applyAlignment="1" pivotButton="0" quotePrefix="0" xfId="0">
      <alignment horizontal="center"/>
    </xf>
    <xf numFmtId="165" fontId="0" fillId="0" borderId="2" applyAlignment="1" pivotButton="0" quotePrefix="0" xfId="0">
      <alignment horizontal="center"/>
    </xf>
    <xf numFmtId="166" fontId="0" fillId="0" borderId="2" applyAlignment="1" pivotButton="0" quotePrefix="0" xfId="0">
      <alignment horizontal="center"/>
    </xf>
    <xf numFmtId="4" fontId="0" fillId="0" borderId="2" applyAlignment="1" pivotButton="0" quotePrefix="0" xfId="0">
      <alignment horizontal="center"/>
    </xf>
    <xf numFmtId="3" fontId="3" fillId="3" borderId="1" applyAlignment="1" pivotButton="0" quotePrefix="0" xfId="0">
      <alignment horizontal="center"/>
    </xf>
    <xf numFmtId="3" fontId="0" fillId="9" borderId="2" pivotButton="0" quotePrefix="0" xfId="0"/>
    <xf numFmtId="2" fontId="0" fillId="9" borderId="2" pivotButton="0" quotePrefix="0" xfId="0"/>
    <xf numFmtId="1" fontId="0" fillId="9" borderId="2" pivotButton="0" quotePrefix="0" xfId="0"/>
    <xf numFmtId="166" fontId="0" fillId="9" borderId="2" pivotButton="0" quotePrefix="0" xfId="0"/>
    <xf numFmtId="165" fontId="0" fillId="9" borderId="2" pivotButton="0" quotePrefix="0" xfId="0"/>
    <xf numFmtId="4" fontId="0" fillId="9" borderId="2" pivotButton="0" quotePrefix="0" xfId="0"/>
    <xf numFmtId="0" fontId="0" fillId="8" borderId="2" pivotButton="0" quotePrefix="0" xfId="0"/>
    <xf numFmtId="0" fontId="0" fillId="10" borderId="2" applyAlignment="1" pivotButton="0" quotePrefix="0" xfId="0">
      <alignment horizontal="center"/>
    </xf>
    <xf numFmtId="0" fontId="3" fillId="10" borderId="2" pivotButton="0" quotePrefix="0" xfId="0"/>
    <xf numFmtId="0" fontId="6" fillId="10" borderId="2" applyAlignment="1" pivotButton="0" quotePrefix="0" xfId="0">
      <alignment vertical="center" wrapText="1"/>
    </xf>
    <xf numFmtId="3" fontId="0" fillId="10" borderId="2" applyAlignment="1" pivotButton="0" quotePrefix="0" xfId="0">
      <alignment horizontal="center"/>
    </xf>
    <xf numFmtId="165" fontId="0" fillId="10" borderId="2" applyAlignment="1" pivotButton="0" quotePrefix="0" xfId="0">
      <alignment horizontal="center"/>
    </xf>
    <xf numFmtId="166" fontId="0" fillId="10" borderId="2" applyAlignment="1" pivotButton="0" quotePrefix="0" xfId="0">
      <alignment horizontal="center"/>
    </xf>
    <xf numFmtId="4" fontId="0" fillId="10" borderId="2" applyAlignment="1" pivotButton="0" quotePrefix="0" xfId="0">
      <alignment horizontal="center"/>
    </xf>
    <xf numFmtId="0" fontId="7" fillId="2" borderId="0" applyAlignment="1" pivotButton="0" quotePrefix="0" xfId="0">
      <alignment horizontal="right" vertical="center"/>
    </xf>
    <xf numFmtId="3" fontId="3" fillId="11" borderId="1" pivotButton="0" quotePrefix="0" xfId="0"/>
    <xf numFmtId="2" fontId="3" fillId="11" borderId="1" pivotButton="0" quotePrefix="0" xfId="0"/>
    <xf numFmtId="0" fontId="3" fillId="11" borderId="1" pivotButton="0" quotePrefix="0" xfId="0"/>
    <xf numFmtId="166" fontId="3" fillId="11" borderId="1" pivotButton="0" quotePrefix="0" xfId="0"/>
    <xf numFmtId="165" fontId="3" fillId="11" borderId="1" pivotButton="0" quotePrefix="0" xfId="0"/>
    <xf numFmtId="4" fontId="3" fillId="11" borderId="1" pivotButton="0" quotePrefix="0" xfId="0"/>
    <xf numFmtId="0" fontId="10" fillId="0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left" vertical="center"/>
    </xf>
    <xf numFmtId="0" fontId="11" fillId="0" borderId="0" applyAlignment="1" pivotButton="0" quotePrefix="0" xfId="0">
      <alignment vertical="center" wrapText="1"/>
    </xf>
    <xf numFmtId="3" fontId="0" fillId="0" borderId="2" pivotButton="0" quotePrefix="0" xfId="0"/>
    <xf numFmtId="2" fontId="0" fillId="0" borderId="2" pivotButton="0" quotePrefix="0" xfId="0"/>
    <xf numFmtId="1" fontId="0" fillId="0" borderId="2" pivotButton="0" quotePrefix="0" xfId="0"/>
    <xf numFmtId="1" fontId="3" fillId="9" borderId="2" pivotButton="0" quotePrefix="0" xfId="0"/>
    <xf numFmtId="166" fontId="0" fillId="0" borderId="2" pivotButton="0" quotePrefix="0" xfId="0"/>
    <xf numFmtId="165" fontId="0" fillId="0" borderId="2" pivotButton="0" quotePrefix="0" xfId="0"/>
    <xf numFmtId="0" fontId="12" fillId="2" borderId="0" applyAlignment="1" pivotButton="0" quotePrefix="0" xfId="0">
      <alignment horizontal="right"/>
    </xf>
    <xf numFmtId="1" fontId="3" fillId="11" borderId="1" pivotButton="0" quotePrefix="0" xfId="0"/>
    <xf numFmtId="0" fontId="7" fillId="14" borderId="0" applyAlignment="1" pivotButton="0" quotePrefix="0" xfId="0">
      <alignment vertical="center"/>
    </xf>
    <xf numFmtId="0" fontId="13" fillId="0" borderId="2" applyAlignment="1" pivotButton="0" quotePrefix="0" xfId="0">
      <alignment horizontal="right" vertical="center"/>
    </xf>
    <xf numFmtId="0" fontId="0" fillId="0" borderId="2" pivotButton="0" quotePrefix="0" xfId="0"/>
    <xf numFmtId="165" fontId="14" fillId="0" borderId="1" applyAlignment="1" pivotButton="0" quotePrefix="0" xfId="0">
      <alignment horizontal="center" vertical="center"/>
    </xf>
    <xf numFmtId="167" fontId="14" fillId="0" borderId="1" applyAlignment="1" pivotButton="0" quotePrefix="0" xfId="0">
      <alignment horizontal="center" vertical="center"/>
    </xf>
    <xf numFmtId="1" fontId="9" fillId="15" borderId="1" applyAlignment="1" pivotButton="0" quotePrefix="0" xfId="0">
      <alignment horizontal="center" vertical="center"/>
    </xf>
    <xf numFmtId="0" fontId="11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/>
    </xf>
    <xf numFmtId="0" fontId="15" fillId="0" borderId="0" pivotButton="0" quotePrefix="0" xfId="0"/>
    <xf numFmtId="0" fontId="16" fillId="11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NAVIPACK</author>
  </authors>
  <commentList>
    <comment ref="G3" authorId="0" shapeId="0">
      <text>
        <t>NAVIPACK standart TIR = 90 m3
Cift dorse (double trailer) = 120 m3
Dolum HACME gore hesaplanir.</t>
      </text>
    </comment>
    <comment ref="K6" authorId="0" shapeId="0">
      <text>
        <t>Siparisi KOLI cinsinden girin. Her hucre sadece KOLI/SIRA katlarini kabul eder.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8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24" customWidth="1" min="2" max="2"/>
    <col width="20" customWidth="1" min="3" max="3"/>
    <col width="10" customWidth="1" min="4" max="4"/>
    <col width="9" customWidth="1" min="5" max="5"/>
    <col width="8" customWidth="1" min="6" max="6"/>
    <col width="10" customWidth="1" min="7" max="7"/>
    <col width="10" customWidth="1" min="8" max="8"/>
    <col width="9" customWidth="1" min="9" max="9"/>
    <col width="10" customWidth="1" min="10" max="10"/>
    <col width="12" customWidth="1" min="11" max="11"/>
    <col width="11" customWidth="1" min="12" max="12"/>
    <col width="9" customWidth="1" min="13" max="13"/>
    <col width="8" customWidth="1" min="14" max="14"/>
    <col width="11" customWidth="1" min="15" max="15"/>
    <col width="9" customWidth="1" min="16" max="16"/>
    <col width="12" customWidth="1" min="17" max="17"/>
    <col width="13" customWidth="1" min="18" max="18"/>
  </cols>
  <sheetData>
    <row r="1" ht="26" customHeight="1">
      <c r="A1" s="1" t="inlineStr">
        <is>
          <t>NAVIPACK LLC
SIPARIS &amp; HACIM HESAPLAMA
ORDER &amp; VOLUME CALCULATOR</t>
        </is>
      </c>
      <c r="F1" s="2" t="inlineStr">
        <is>
          <t>MUSTERI / CUSTOMER:</t>
        </is>
      </c>
      <c r="G1" s="3" t="inlineStr"/>
      <c r="K1" s="4" t="inlineStr">
        <is>
          <t>TOPLAM
HACIM m3</t>
        </is>
      </c>
      <c r="M1" s="5">
        <f>P27</f>
        <v/>
      </c>
      <c r="O1" s="4" t="inlineStr">
        <is>
          <t>TIR
DOLULUK %</t>
        </is>
      </c>
      <c r="Q1" s="6">
        <f>IF($G$3=0,0,P27/$G$3)</f>
        <v/>
      </c>
    </row>
    <row r="2">
      <c r="F2" s="2" t="inlineStr">
        <is>
          <t>TARIH / DATE:</t>
        </is>
      </c>
      <c r="G2" s="7">
        <f>TODAY()</f>
        <v/>
      </c>
    </row>
    <row r="3" ht="26" customHeight="1">
      <c r="F3" s="2" t="inlineStr">
        <is>
          <t>TIR KAPASITESI (m3):</t>
        </is>
      </c>
      <c r="G3" s="3" t="n">
        <v>90</v>
      </c>
      <c r="K3" s="4" t="inlineStr">
        <is>
          <t>GEREKEN
TIR ADEDI</t>
        </is>
      </c>
      <c r="M3" s="8">
        <f>IF($G$3=0,0,CEILING(P27/$G$3,1))</f>
        <v/>
      </c>
      <c r="O3" s="4" t="inlineStr">
        <is>
          <t>TOPLAM
TUTAR USD</t>
        </is>
      </c>
      <c r="Q3" s="9">
        <f>Q27</f>
        <v/>
      </c>
    </row>
    <row r="4"/>
    <row r="6" ht="30" customHeight="1">
      <c r="A6" s="10" t="inlineStr">
        <is>
          <t>NO</t>
        </is>
      </c>
      <c r="B6" s="10" t="inlineStr">
        <is>
          <t>URUN / PRODUCT</t>
        </is>
      </c>
      <c r="C6" s="10" t="inlineStr">
        <is>
          <t>RENK / COLOUR</t>
        </is>
      </c>
      <c r="D6" s="10" t="inlineStr">
        <is>
          <t>ADET/KOLI
(pcs/box)</t>
        </is>
      </c>
      <c r="E6" s="10" t="inlineStr">
        <is>
          <t>KOLI HACMI
m3</t>
        </is>
      </c>
      <c r="F6" s="10" t="inlineStr">
        <is>
          <t>KOLI NET
kg</t>
        </is>
      </c>
      <c r="G6" s="10" t="inlineStr">
        <is>
          <t>KOLI/SIRA
(box/layer)</t>
        </is>
      </c>
      <c r="H6" s="10" t="inlineStr">
        <is>
          <t>SIRA/PALET
(layer/pal)</t>
        </is>
      </c>
      <c r="I6" s="10" t="inlineStr">
        <is>
          <t>KOLI/PALET
(box/pal)</t>
        </is>
      </c>
      <c r="J6" s="10" t="inlineStr">
        <is>
          <t>FIYAT/1000
USD</t>
        </is>
      </c>
      <c r="K6" s="11" t="inlineStr">
        <is>
          <t>SIPARIS
(KOLI) ***</t>
        </is>
      </c>
      <c r="L6" s="12" t="inlineStr">
        <is>
          <t>SIPARIS
(ADET)</t>
        </is>
      </c>
      <c r="M6" s="12" t="inlineStr">
        <is>
          <t>PALET
(esdeger)</t>
        </is>
      </c>
      <c r="N6" s="12" t="inlineStr">
        <is>
          <t>TAM SIRA
(rows)</t>
        </is>
      </c>
      <c r="O6" s="12" t="inlineStr">
        <is>
          <t>NET AGIRLIK
kg</t>
        </is>
      </c>
      <c r="P6" s="12" t="inlineStr">
        <is>
          <t>HACIM
m3</t>
        </is>
      </c>
      <c r="Q6" s="12" t="inlineStr">
        <is>
          <t>TUTAR
USD</t>
        </is>
      </c>
      <c r="R6" s="13" t="inlineStr">
        <is>
          <t>AILE / FAMILY</t>
        </is>
      </c>
    </row>
    <row r="7">
      <c r="A7" s="14" t="n">
        <v>1</v>
      </c>
      <c r="B7" s="15" t="inlineStr">
        <is>
          <t>PREMIUM FORK</t>
        </is>
      </c>
      <c r="C7" s="16" t="inlineStr">
        <is>
          <t>TRANSPARENT</t>
        </is>
      </c>
      <c r="D7" s="17" t="n">
        <v>4000</v>
      </c>
      <c r="E7" s="18" t="n">
        <v>0.046</v>
      </c>
      <c r="F7" s="19">
        <f>D7*2.8/1000</f>
        <v/>
      </c>
      <c r="G7" s="14" t="n">
        <v>7</v>
      </c>
      <c r="H7" s="14" t="n">
        <v>10</v>
      </c>
      <c r="I7" s="14">
        <f>G7*H7</f>
        <v/>
      </c>
      <c r="J7" s="20" t="n">
        <v>7.5</v>
      </c>
      <c r="K7" s="21" t="n">
        <v>0</v>
      </c>
      <c r="L7" s="22">
        <f>K7*D7</f>
        <v/>
      </c>
      <c r="M7" s="23">
        <f>IF(I7=0,0,K7/I7)</f>
        <v/>
      </c>
      <c r="N7" s="24">
        <f>IF(G7=0,0,K7/G7)</f>
        <v/>
      </c>
      <c r="O7" s="25">
        <f>K7*F7</f>
        <v/>
      </c>
      <c r="P7" s="26">
        <f>K7*E7</f>
        <v/>
      </c>
      <c r="Q7" s="27">
        <f>L7/1000*J7</f>
        <v/>
      </c>
      <c r="R7" s="28" t="inlineStr">
        <is>
          <t>PREMIUM</t>
        </is>
      </c>
    </row>
    <row r="8">
      <c r="A8" s="29" t="n">
        <v>2</v>
      </c>
      <c r="B8" s="30" t="inlineStr">
        <is>
          <t>PREMIUM FORK</t>
        </is>
      </c>
      <c r="C8" s="31" t="inlineStr">
        <is>
          <t>BLACK</t>
        </is>
      </c>
      <c r="D8" s="32" t="n">
        <v>4000</v>
      </c>
      <c r="E8" s="33" t="n">
        <v>0.046</v>
      </c>
      <c r="F8" s="34">
        <f>D8*2.8/1000</f>
        <v/>
      </c>
      <c r="G8" s="29" t="n">
        <v>7</v>
      </c>
      <c r="H8" s="29" t="n">
        <v>10</v>
      </c>
      <c r="I8" s="29">
        <f>G8*H8</f>
        <v/>
      </c>
      <c r="J8" s="35" t="n">
        <v>7.5</v>
      </c>
      <c r="K8" s="21" t="n">
        <v>0</v>
      </c>
      <c r="L8" s="22">
        <f>K8*D8</f>
        <v/>
      </c>
      <c r="M8" s="23">
        <f>IF(I8=0,0,K8/I8)</f>
        <v/>
      </c>
      <c r="N8" s="24">
        <f>IF(G8=0,0,K8/G8)</f>
        <v/>
      </c>
      <c r="O8" s="25">
        <f>K8*F8</f>
        <v/>
      </c>
      <c r="P8" s="26">
        <f>K8*E8</f>
        <v/>
      </c>
      <c r="Q8" s="27">
        <f>L8/1000*J8</f>
        <v/>
      </c>
      <c r="R8" s="28" t="inlineStr">
        <is>
          <t>PREMIUM</t>
        </is>
      </c>
    </row>
    <row r="9">
      <c r="A9" s="14" t="n">
        <v>3</v>
      </c>
      <c r="B9" s="15" t="inlineStr">
        <is>
          <t>PREMIUM SPOON</t>
        </is>
      </c>
      <c r="C9" s="16" t="inlineStr">
        <is>
          <t>TRANSPARENT</t>
        </is>
      </c>
      <c r="D9" s="17" t="n">
        <v>4000</v>
      </c>
      <c r="E9" s="18" t="n">
        <v>0.056</v>
      </c>
      <c r="F9" s="19">
        <f>D9*2.8/1000</f>
        <v/>
      </c>
      <c r="G9" s="14" t="n">
        <v>7</v>
      </c>
      <c r="H9" s="14" t="n">
        <v>8</v>
      </c>
      <c r="I9" s="14">
        <f>G9*H9</f>
        <v/>
      </c>
      <c r="J9" s="20" t="n">
        <v>7.5</v>
      </c>
      <c r="K9" s="21" t="n">
        <v>0</v>
      </c>
      <c r="L9" s="22">
        <f>K9*D9</f>
        <v/>
      </c>
      <c r="M9" s="23">
        <f>IF(I9=0,0,K9/I9)</f>
        <v/>
      </c>
      <c r="N9" s="24">
        <f>IF(G9=0,0,K9/G9)</f>
        <v/>
      </c>
      <c r="O9" s="25">
        <f>K9*F9</f>
        <v/>
      </c>
      <c r="P9" s="26">
        <f>K9*E9</f>
        <v/>
      </c>
      <c r="Q9" s="27">
        <f>L9/1000*J9</f>
        <v/>
      </c>
      <c r="R9" s="28" t="inlineStr">
        <is>
          <t>PREMIUM</t>
        </is>
      </c>
    </row>
    <row r="10">
      <c r="A10" s="29" t="n">
        <v>4</v>
      </c>
      <c r="B10" s="30" t="inlineStr">
        <is>
          <t>PREMIUM SPOON</t>
        </is>
      </c>
      <c r="C10" s="31" t="inlineStr">
        <is>
          <t>BLACK</t>
        </is>
      </c>
      <c r="D10" s="32" t="n">
        <v>4000</v>
      </c>
      <c r="E10" s="33" t="n">
        <v>0.056</v>
      </c>
      <c r="F10" s="34">
        <f>D10*2.8/1000</f>
        <v/>
      </c>
      <c r="G10" s="29" t="n">
        <v>7</v>
      </c>
      <c r="H10" s="29" t="n">
        <v>8</v>
      </c>
      <c r="I10" s="29">
        <f>G10*H10</f>
        <v/>
      </c>
      <c r="J10" s="35" t="n">
        <v>7.5</v>
      </c>
      <c r="K10" s="21" t="n">
        <v>0</v>
      </c>
      <c r="L10" s="22">
        <f>K10*D10</f>
        <v/>
      </c>
      <c r="M10" s="23">
        <f>IF(I10=0,0,K10/I10)</f>
        <v/>
      </c>
      <c r="N10" s="24">
        <f>IF(G10=0,0,K10/G10)</f>
        <v/>
      </c>
      <c r="O10" s="25">
        <f>K10*F10</f>
        <v/>
      </c>
      <c r="P10" s="26">
        <f>K10*E10</f>
        <v/>
      </c>
      <c r="Q10" s="27">
        <f>L10/1000*J10</f>
        <v/>
      </c>
      <c r="R10" s="28" t="inlineStr">
        <is>
          <t>PREMIUM</t>
        </is>
      </c>
    </row>
    <row r="11">
      <c r="A11" s="14" t="n">
        <v>5</v>
      </c>
      <c r="B11" s="15" t="inlineStr">
        <is>
          <t>PREMIUM KNIFE</t>
        </is>
      </c>
      <c r="C11" s="16" t="inlineStr">
        <is>
          <t>TRANSPARENT</t>
        </is>
      </c>
      <c r="D11" s="17" t="n">
        <v>4000</v>
      </c>
      <c r="E11" s="18" t="n">
        <v>0.035</v>
      </c>
      <c r="F11" s="19">
        <f>D11*2.8/1000</f>
        <v/>
      </c>
      <c r="G11" s="14" t="n">
        <v>7</v>
      </c>
      <c r="H11" s="14" t="n">
        <v>11</v>
      </c>
      <c r="I11" s="14">
        <f>G11*H11</f>
        <v/>
      </c>
      <c r="J11" s="20" t="n">
        <v>7.5</v>
      </c>
      <c r="K11" s="21" t="n">
        <v>0</v>
      </c>
      <c r="L11" s="22">
        <f>K11*D11</f>
        <v/>
      </c>
      <c r="M11" s="23">
        <f>IF(I11=0,0,K11/I11)</f>
        <v/>
      </c>
      <c r="N11" s="24">
        <f>IF(G11=0,0,K11/G11)</f>
        <v/>
      </c>
      <c r="O11" s="25">
        <f>K11*F11</f>
        <v/>
      </c>
      <c r="P11" s="26">
        <f>K11*E11</f>
        <v/>
      </c>
      <c r="Q11" s="27">
        <f>L11/1000*J11</f>
        <v/>
      </c>
      <c r="R11" s="28" t="inlineStr">
        <is>
          <t>PREMIUM</t>
        </is>
      </c>
    </row>
    <row r="12">
      <c r="A12" s="29" t="n">
        <v>6</v>
      </c>
      <c r="B12" s="30" t="inlineStr">
        <is>
          <t>PREMIUM KNIFE</t>
        </is>
      </c>
      <c r="C12" s="31" t="inlineStr">
        <is>
          <t>BLACK</t>
        </is>
      </c>
      <c r="D12" s="32" t="n">
        <v>4000</v>
      </c>
      <c r="E12" s="33" t="n">
        <v>0.035</v>
      </c>
      <c r="F12" s="34">
        <f>D12*2.8/1000</f>
        <v/>
      </c>
      <c r="G12" s="29" t="n">
        <v>7</v>
      </c>
      <c r="H12" s="29" t="n">
        <v>11</v>
      </c>
      <c r="I12" s="29">
        <f>G12*H12</f>
        <v/>
      </c>
      <c r="J12" s="35" t="n">
        <v>7.5</v>
      </c>
      <c r="K12" s="21" t="n">
        <v>0</v>
      </c>
      <c r="L12" s="22">
        <f>K12*D12</f>
        <v/>
      </c>
      <c r="M12" s="23">
        <f>IF(I12=0,0,K12/I12)</f>
        <v/>
      </c>
      <c r="N12" s="24">
        <f>IF(G12=0,0,K12/G12)</f>
        <v/>
      </c>
      <c r="O12" s="25">
        <f>K12*F12</f>
        <v/>
      </c>
      <c r="P12" s="26">
        <f>K12*E12</f>
        <v/>
      </c>
      <c r="Q12" s="27">
        <f>L12/1000*J12</f>
        <v/>
      </c>
      <c r="R12" s="28" t="inlineStr">
        <is>
          <t>PREMIUM</t>
        </is>
      </c>
    </row>
    <row r="13">
      <c r="A13" s="14" t="n">
        <v>7</v>
      </c>
      <c r="B13" s="15" t="inlineStr">
        <is>
          <t>PREMIUM DESSERT SPOON</t>
        </is>
      </c>
      <c r="C13" s="16" t="inlineStr">
        <is>
          <t>TRANSPARENT</t>
        </is>
      </c>
      <c r="D13" s="17" t="n">
        <v>4000</v>
      </c>
      <c r="E13" s="18" t="n">
        <v>0.036</v>
      </c>
      <c r="F13" s="19">
        <f>D13*2.5/1000</f>
        <v/>
      </c>
      <c r="G13" s="14" t="n">
        <v>7</v>
      </c>
      <c r="H13" s="14" t="n">
        <v>9</v>
      </c>
      <c r="I13" s="14">
        <f>G13*H13</f>
        <v/>
      </c>
      <c r="J13" s="20" t="n">
        <v>7.25</v>
      </c>
      <c r="K13" s="21" t="n">
        <v>0</v>
      </c>
      <c r="L13" s="22">
        <f>K13*D13</f>
        <v/>
      </c>
      <c r="M13" s="23">
        <f>IF(I13=0,0,K13/I13)</f>
        <v/>
      </c>
      <c r="N13" s="24">
        <f>IF(G13=0,0,K13/G13)</f>
        <v/>
      </c>
      <c r="O13" s="25">
        <f>K13*F13</f>
        <v/>
      </c>
      <c r="P13" s="26">
        <f>K13*E13</f>
        <v/>
      </c>
      <c r="Q13" s="27">
        <f>L13/1000*J13</f>
        <v/>
      </c>
      <c r="R13" s="28" t="inlineStr">
        <is>
          <t>PREMIUM</t>
        </is>
      </c>
    </row>
    <row r="14">
      <c r="A14" s="29" t="n">
        <v>8</v>
      </c>
      <c r="B14" s="30" t="inlineStr">
        <is>
          <t>PREMIUM DESSERT SPOON</t>
        </is>
      </c>
      <c r="C14" s="31" t="inlineStr">
        <is>
          <t>BLACK</t>
        </is>
      </c>
      <c r="D14" s="32" t="n">
        <v>4000</v>
      </c>
      <c r="E14" s="33" t="n">
        <v>0.036</v>
      </c>
      <c r="F14" s="34">
        <f>D14*2.5/1000</f>
        <v/>
      </c>
      <c r="G14" s="29" t="n">
        <v>7</v>
      </c>
      <c r="H14" s="29" t="n">
        <v>9</v>
      </c>
      <c r="I14" s="29">
        <f>G14*H14</f>
        <v/>
      </c>
      <c r="J14" s="35" t="n">
        <v>7.25</v>
      </c>
      <c r="K14" s="21" t="n">
        <v>0</v>
      </c>
      <c r="L14" s="22">
        <f>K14*D14</f>
        <v/>
      </c>
      <c r="M14" s="23">
        <f>IF(I14=0,0,K14/I14)</f>
        <v/>
      </c>
      <c r="N14" s="24">
        <f>IF(G14=0,0,K14/G14)</f>
        <v/>
      </c>
      <c r="O14" s="25">
        <f>K14*F14</f>
        <v/>
      </c>
      <c r="P14" s="26">
        <f>K14*E14</f>
        <v/>
      </c>
      <c r="Q14" s="27">
        <f>L14/1000*J14</f>
        <v/>
      </c>
      <c r="R14" s="28" t="inlineStr">
        <is>
          <t>PREMIUM</t>
        </is>
      </c>
    </row>
    <row r="15">
      <c r="A15" s="14" t="n">
        <v>9</v>
      </c>
      <c r="B15" s="15" t="inlineStr">
        <is>
          <t>DIAMOND FORK</t>
        </is>
      </c>
      <c r="C15" s="16" t="inlineStr">
        <is>
          <t>TRANSPARENT</t>
        </is>
      </c>
      <c r="D15" s="17" t="n">
        <v>2000</v>
      </c>
      <c r="E15" s="18" t="n">
        <v>0.024</v>
      </c>
      <c r="F15" s="19">
        <f>D15*3.8/1000</f>
        <v/>
      </c>
      <c r="G15" s="14" t="n">
        <v>12</v>
      </c>
      <c r="H15" s="14" t="n">
        <v>10</v>
      </c>
      <c r="I15" s="14">
        <f>G15*H15</f>
        <v/>
      </c>
      <c r="J15" s="20" t="n">
        <v>10</v>
      </c>
      <c r="K15" s="21" t="n">
        <v>0</v>
      </c>
      <c r="L15" s="22">
        <f>K15*D15</f>
        <v/>
      </c>
      <c r="M15" s="23">
        <f>IF(I15=0,0,K15/I15)</f>
        <v/>
      </c>
      <c r="N15" s="24">
        <f>IF(G15=0,0,K15/G15)</f>
        <v/>
      </c>
      <c r="O15" s="25">
        <f>K15*F15</f>
        <v/>
      </c>
      <c r="P15" s="26">
        <f>K15*E15</f>
        <v/>
      </c>
      <c r="Q15" s="27">
        <f>L15/1000*J15</f>
        <v/>
      </c>
      <c r="R15" s="28" t="inlineStr">
        <is>
          <t>DIAMOND</t>
        </is>
      </c>
    </row>
    <row r="16">
      <c r="A16" s="29" t="n">
        <v>10</v>
      </c>
      <c r="B16" s="30" t="inlineStr">
        <is>
          <t>DIAMOND FORK</t>
        </is>
      </c>
      <c r="C16" s="31" t="inlineStr">
        <is>
          <t>BLACK</t>
        </is>
      </c>
      <c r="D16" s="32" t="n">
        <v>2000</v>
      </c>
      <c r="E16" s="33" t="n">
        <v>0.024</v>
      </c>
      <c r="F16" s="34">
        <f>D16*3.8/1000</f>
        <v/>
      </c>
      <c r="G16" s="29" t="n">
        <v>12</v>
      </c>
      <c r="H16" s="29" t="n">
        <v>10</v>
      </c>
      <c r="I16" s="29">
        <f>G16*H16</f>
        <v/>
      </c>
      <c r="J16" s="35" t="n">
        <v>10</v>
      </c>
      <c r="K16" s="21" t="n">
        <v>0</v>
      </c>
      <c r="L16" s="22">
        <f>K16*D16</f>
        <v/>
      </c>
      <c r="M16" s="23">
        <f>IF(I16=0,0,K16/I16)</f>
        <v/>
      </c>
      <c r="N16" s="24">
        <f>IF(G16=0,0,K16/G16)</f>
        <v/>
      </c>
      <c r="O16" s="25">
        <f>K16*F16</f>
        <v/>
      </c>
      <c r="P16" s="26">
        <f>K16*E16</f>
        <v/>
      </c>
      <c r="Q16" s="27">
        <f>L16/1000*J16</f>
        <v/>
      </c>
      <c r="R16" s="28" t="inlineStr">
        <is>
          <t>DIAMOND</t>
        </is>
      </c>
    </row>
    <row r="17">
      <c r="A17" s="14" t="n">
        <v>11</v>
      </c>
      <c r="B17" s="15" t="inlineStr">
        <is>
          <t>DIAMOND SPOON</t>
        </is>
      </c>
      <c r="C17" s="16" t="inlineStr">
        <is>
          <t>TRANSPARENT</t>
        </is>
      </c>
      <c r="D17" s="17" t="n">
        <v>2000</v>
      </c>
      <c r="E17" s="18" t="n">
        <v>0.031</v>
      </c>
      <c r="F17" s="19">
        <f>D17*3.8/1000</f>
        <v/>
      </c>
      <c r="G17" s="14" t="n">
        <v>12</v>
      </c>
      <c r="H17" s="14" t="n">
        <v>8</v>
      </c>
      <c r="I17" s="14">
        <f>G17*H17</f>
        <v/>
      </c>
      <c r="J17" s="20" t="n">
        <v>10</v>
      </c>
      <c r="K17" s="21" t="n">
        <v>0</v>
      </c>
      <c r="L17" s="22">
        <f>K17*D17</f>
        <v/>
      </c>
      <c r="M17" s="23">
        <f>IF(I17=0,0,K17/I17)</f>
        <v/>
      </c>
      <c r="N17" s="24">
        <f>IF(G17=0,0,K17/G17)</f>
        <v/>
      </c>
      <c r="O17" s="25">
        <f>K17*F17</f>
        <v/>
      </c>
      <c r="P17" s="26">
        <f>K17*E17</f>
        <v/>
      </c>
      <c r="Q17" s="27">
        <f>L17/1000*J17</f>
        <v/>
      </c>
      <c r="R17" s="28" t="inlineStr">
        <is>
          <t>DIAMOND</t>
        </is>
      </c>
    </row>
    <row r="18">
      <c r="A18" s="29" t="n">
        <v>12</v>
      </c>
      <c r="B18" s="30" t="inlineStr">
        <is>
          <t>DIAMOND SPOON</t>
        </is>
      </c>
      <c r="C18" s="31" t="inlineStr">
        <is>
          <t>BLACK</t>
        </is>
      </c>
      <c r="D18" s="32" t="n">
        <v>2000</v>
      </c>
      <c r="E18" s="33" t="n">
        <v>0.031</v>
      </c>
      <c r="F18" s="34">
        <f>D18*3.8/1000</f>
        <v/>
      </c>
      <c r="G18" s="29" t="n">
        <v>12</v>
      </c>
      <c r="H18" s="29" t="n">
        <v>8</v>
      </c>
      <c r="I18" s="29">
        <f>G18*H18</f>
        <v/>
      </c>
      <c r="J18" s="35" t="n">
        <v>10</v>
      </c>
      <c r="K18" s="21" t="n">
        <v>0</v>
      </c>
      <c r="L18" s="22">
        <f>K18*D18</f>
        <v/>
      </c>
      <c r="M18" s="23">
        <f>IF(I18=0,0,K18/I18)</f>
        <v/>
      </c>
      <c r="N18" s="24">
        <f>IF(G18=0,0,K18/G18)</f>
        <v/>
      </c>
      <c r="O18" s="25">
        <f>K18*F18</f>
        <v/>
      </c>
      <c r="P18" s="26">
        <f>K18*E18</f>
        <v/>
      </c>
      <c r="Q18" s="27">
        <f>L18/1000*J18</f>
        <v/>
      </c>
      <c r="R18" s="28" t="inlineStr">
        <is>
          <t>DIAMOND</t>
        </is>
      </c>
    </row>
    <row r="19">
      <c r="A19" s="14" t="n">
        <v>13</v>
      </c>
      <c r="B19" s="15" t="inlineStr">
        <is>
          <t>DIAMOND KNIFE</t>
        </is>
      </c>
      <c r="C19" s="16" t="inlineStr">
        <is>
          <t>TRANSPARENT</t>
        </is>
      </c>
      <c r="D19" s="17" t="n">
        <v>2000</v>
      </c>
      <c r="E19" s="18" t="n">
        <v>0.02</v>
      </c>
      <c r="F19" s="19">
        <f>D19*3.8/1000</f>
        <v/>
      </c>
      <c r="G19" s="14" t="n">
        <v>12</v>
      </c>
      <c r="H19" s="14" t="n">
        <v>12</v>
      </c>
      <c r="I19" s="14">
        <f>G19*H19</f>
        <v/>
      </c>
      <c r="J19" s="20" t="n">
        <v>10</v>
      </c>
      <c r="K19" s="21" t="n">
        <v>0</v>
      </c>
      <c r="L19" s="22">
        <f>K19*D19</f>
        <v/>
      </c>
      <c r="M19" s="23">
        <f>IF(I19=0,0,K19/I19)</f>
        <v/>
      </c>
      <c r="N19" s="24">
        <f>IF(G19=0,0,K19/G19)</f>
        <v/>
      </c>
      <c r="O19" s="25">
        <f>K19*F19</f>
        <v/>
      </c>
      <c r="P19" s="26">
        <f>K19*E19</f>
        <v/>
      </c>
      <c r="Q19" s="27">
        <f>L19/1000*J19</f>
        <v/>
      </c>
      <c r="R19" s="28" t="inlineStr">
        <is>
          <t>DIAMOND</t>
        </is>
      </c>
    </row>
    <row r="20">
      <c r="A20" s="29" t="n">
        <v>14</v>
      </c>
      <c r="B20" s="30" t="inlineStr">
        <is>
          <t>DIAMOND KNIFE</t>
        </is>
      </c>
      <c r="C20" s="31" t="inlineStr">
        <is>
          <t>BLACK</t>
        </is>
      </c>
      <c r="D20" s="32" t="n">
        <v>2000</v>
      </c>
      <c r="E20" s="33" t="n">
        <v>0.02</v>
      </c>
      <c r="F20" s="34">
        <f>D20*3.8/1000</f>
        <v/>
      </c>
      <c r="G20" s="29" t="n">
        <v>12</v>
      </c>
      <c r="H20" s="29" t="n">
        <v>12</v>
      </c>
      <c r="I20" s="29">
        <f>G20*H20</f>
        <v/>
      </c>
      <c r="J20" s="35" t="n">
        <v>10</v>
      </c>
      <c r="K20" s="21" t="n">
        <v>0</v>
      </c>
      <c r="L20" s="22">
        <f>K20*D20</f>
        <v/>
      </c>
      <c r="M20" s="23">
        <f>IF(I20=0,0,K20/I20)</f>
        <v/>
      </c>
      <c r="N20" s="24">
        <f>IF(G20=0,0,K20/G20)</f>
        <v/>
      </c>
      <c r="O20" s="25">
        <f>K20*F20</f>
        <v/>
      </c>
      <c r="P20" s="26">
        <f>K20*E20</f>
        <v/>
      </c>
      <c r="Q20" s="27">
        <f>L20/1000*J20</f>
        <v/>
      </c>
      <c r="R20" s="28" t="inlineStr">
        <is>
          <t>DIAMOND</t>
        </is>
      </c>
    </row>
    <row r="21">
      <c r="A21" s="14" t="n">
        <v>15</v>
      </c>
      <c r="B21" s="15" t="inlineStr">
        <is>
          <t>SMART FORK</t>
        </is>
      </c>
      <c r="C21" s="16" t="inlineStr">
        <is>
          <t>TRANSPARENT / BLACK</t>
        </is>
      </c>
      <c r="D21" s="17" t="n">
        <v>2000</v>
      </c>
      <c r="E21" s="18" t="n">
        <v>0.025</v>
      </c>
      <c r="F21" s="19">
        <f>D21*3.7/1000</f>
        <v/>
      </c>
      <c r="G21" s="14" t="n">
        <v>12</v>
      </c>
      <c r="H21" s="14" t="n">
        <v>10</v>
      </c>
      <c r="I21" s="14">
        <f>G21*H21</f>
        <v/>
      </c>
      <c r="J21" s="20" t="n">
        <v>9.75</v>
      </c>
      <c r="K21" s="21" t="n">
        <v>0</v>
      </c>
      <c r="L21" s="22">
        <f>K21*D21</f>
        <v/>
      </c>
      <c r="M21" s="23">
        <f>IF(I21=0,0,K21/I21)</f>
        <v/>
      </c>
      <c r="N21" s="24">
        <f>IF(G21=0,0,K21/G21)</f>
        <v/>
      </c>
      <c r="O21" s="25">
        <f>K21*F21</f>
        <v/>
      </c>
      <c r="P21" s="26">
        <f>K21*E21</f>
        <v/>
      </c>
      <c r="Q21" s="27">
        <f>L21/1000*J21</f>
        <v/>
      </c>
      <c r="R21" s="28" t="inlineStr">
        <is>
          <t>SMART</t>
        </is>
      </c>
    </row>
    <row r="22">
      <c r="A22" s="29" t="n">
        <v>16</v>
      </c>
      <c r="B22" s="30" t="inlineStr">
        <is>
          <t>WAVY ICE CREAM SPOON</t>
        </is>
      </c>
      <c r="C22" s="31" t="inlineStr">
        <is>
          <t>COLORED (RED/BLUE/GREEN/ORANGE)</t>
        </is>
      </c>
      <c r="D22" s="32" t="n">
        <v>2000</v>
      </c>
      <c r="E22" s="33" t="n">
        <v>0.025</v>
      </c>
      <c r="F22" s="34">
        <f>D22*2.4/1000</f>
        <v/>
      </c>
      <c r="G22" s="29" t="n">
        <v>9</v>
      </c>
      <c r="H22" s="29" t="n">
        <v>9</v>
      </c>
      <c r="I22" s="29">
        <f>G22*H22</f>
        <v/>
      </c>
      <c r="J22" s="35" t="n">
        <v>8.5</v>
      </c>
      <c r="K22" s="21" t="n">
        <v>0</v>
      </c>
      <c r="L22" s="22">
        <f>K22*D22</f>
        <v/>
      </c>
      <c r="M22" s="23">
        <f>IF(I22=0,0,K22/I22)</f>
        <v/>
      </c>
      <c r="N22" s="24">
        <f>IF(G22=0,0,K22/G22)</f>
        <v/>
      </c>
      <c r="O22" s="25">
        <f>K22*F22</f>
        <v/>
      </c>
      <c r="P22" s="26">
        <f>K22*E22</f>
        <v/>
      </c>
      <c r="Q22" s="27">
        <f>L22/1000*J22</f>
        <v/>
      </c>
      <c r="R22" s="28" t="inlineStr">
        <is>
          <t>ICE CREAM</t>
        </is>
      </c>
    </row>
    <row r="23">
      <c r="A23" s="14" t="n">
        <v>17</v>
      </c>
      <c r="B23" s="15" t="inlineStr">
        <is>
          <t>120 CC CHAMPAGNE GLASS</t>
        </is>
      </c>
      <c r="C23" s="16" t="inlineStr">
        <is>
          <t>TRANSPARENT (FOOT COLORED)</t>
        </is>
      </c>
      <c r="D23" s="17" t="n">
        <v>300</v>
      </c>
      <c r="E23" s="18" t="n">
        <v>0.053</v>
      </c>
      <c r="F23" s="19">
        <f>D23*12.5/1000</f>
        <v/>
      </c>
      <c r="G23" s="14" t="n">
        <v>6</v>
      </c>
      <c r="H23" s="14" t="n">
        <v>6</v>
      </c>
      <c r="I23" s="14">
        <f>G23*H23</f>
        <v/>
      </c>
      <c r="J23" s="20" t="n">
        <v>100</v>
      </c>
      <c r="K23" s="21" t="n">
        <v>0</v>
      </c>
      <c r="L23" s="22">
        <f>K23*D23</f>
        <v/>
      </c>
      <c r="M23" s="23">
        <f>IF(I23=0,0,K23/I23)</f>
        <v/>
      </c>
      <c r="N23" s="24">
        <f>IF(G23=0,0,K23/G23)</f>
        <v/>
      </c>
      <c r="O23" s="25">
        <f>K23*F23</f>
        <v/>
      </c>
      <c r="P23" s="26">
        <f>K23*E23</f>
        <v/>
      </c>
      <c r="Q23" s="27">
        <f>L23/1000*J23</f>
        <v/>
      </c>
      <c r="R23" s="28" t="inlineStr">
        <is>
          <t>GLASS</t>
        </is>
      </c>
    </row>
    <row r="24">
      <c r="A24" s="29" t="n">
        <v>18</v>
      </c>
      <c r="B24" s="30" t="inlineStr">
        <is>
          <t>170 CC MINI WINE GLASS</t>
        </is>
      </c>
      <c r="C24" s="31" t="inlineStr">
        <is>
          <t>TRANSPARENT (FOOT COLORED)</t>
        </is>
      </c>
      <c r="D24" s="32" t="n">
        <v>300</v>
      </c>
      <c r="E24" s="33" t="n">
        <v>0.049</v>
      </c>
      <c r="F24" s="34">
        <f>D24*12.5/1000</f>
        <v/>
      </c>
      <c r="G24" s="29" t="n">
        <v>6</v>
      </c>
      <c r="H24" s="29" t="n">
        <v>10</v>
      </c>
      <c r="I24" s="29">
        <f>G24*H24</f>
        <v/>
      </c>
      <c r="J24" s="35" t="n">
        <v>100</v>
      </c>
      <c r="K24" s="21" t="n">
        <v>0</v>
      </c>
      <c r="L24" s="22">
        <f>K24*D24</f>
        <v/>
      </c>
      <c r="M24" s="23">
        <f>IF(I24=0,0,K24/I24)</f>
        <v/>
      </c>
      <c r="N24" s="24">
        <f>IF(G24=0,0,K24/G24)</f>
        <v/>
      </c>
      <c r="O24" s="25">
        <f>K24*F24</f>
        <v/>
      </c>
      <c r="P24" s="26">
        <f>K24*E24</f>
        <v/>
      </c>
      <c r="Q24" s="27">
        <f>L24/1000*J24</f>
        <v/>
      </c>
      <c r="R24" s="28" t="inlineStr">
        <is>
          <t>GLASS</t>
        </is>
      </c>
    </row>
    <row r="25">
      <c r="A25" s="14" t="n">
        <v>19</v>
      </c>
      <c r="B25" s="15" t="inlineStr">
        <is>
          <t>185 CC WINE GLASS</t>
        </is>
      </c>
      <c r="C25" s="16" t="inlineStr">
        <is>
          <t>TRANSPARENT (FOOT COLORED)</t>
        </is>
      </c>
      <c r="D25" s="17" t="n">
        <v>300</v>
      </c>
      <c r="E25" s="18" t="n">
        <v>0.067</v>
      </c>
      <c r="F25" s="19">
        <f>D25*14.5/1000</f>
        <v/>
      </c>
      <c r="G25" s="14" t="n">
        <v>6</v>
      </c>
      <c r="H25" s="14" t="n">
        <v>7</v>
      </c>
      <c r="I25" s="14">
        <f>G25*H25</f>
        <v/>
      </c>
      <c r="J25" s="20" t="n">
        <v>110</v>
      </c>
      <c r="K25" s="21" t="n">
        <v>0</v>
      </c>
      <c r="L25" s="22">
        <f>K25*D25</f>
        <v/>
      </c>
      <c r="M25" s="23">
        <f>IF(I25=0,0,K25/I25)</f>
        <v/>
      </c>
      <c r="N25" s="24">
        <f>IF(G25=0,0,K25/G25)</f>
        <v/>
      </c>
      <c r="O25" s="25">
        <f>K25*F25</f>
        <v/>
      </c>
      <c r="P25" s="26">
        <f>K25*E25</f>
        <v/>
      </c>
      <c r="Q25" s="27">
        <f>L25/1000*J25</f>
        <v/>
      </c>
      <c r="R25" s="28" t="inlineStr">
        <is>
          <t>GLASS</t>
        </is>
      </c>
    </row>
    <row r="26">
      <c r="A26" s="29" t="n">
        <v>20</v>
      </c>
      <c r="B26" s="30" t="inlineStr">
        <is>
          <t>PIZZA TRIPOD</t>
        </is>
      </c>
      <c r="C26" s="31" t="inlineStr">
        <is>
          <t>WHITE</t>
        </is>
      </c>
      <c r="D26" s="32" t="n">
        <v>1000</v>
      </c>
      <c r="E26" s="33" t="n">
        <v>0.027</v>
      </c>
      <c r="F26" s="34">
        <f>D26*1.85/1000</f>
        <v/>
      </c>
      <c r="G26" s="29" t="n">
        <v>9</v>
      </c>
      <c r="H26" s="29" t="n">
        <v>11</v>
      </c>
      <c r="I26" s="29">
        <f>G26*H26</f>
        <v/>
      </c>
      <c r="J26" s="35" t="n">
        <v>8.5</v>
      </c>
      <c r="K26" s="21" t="n">
        <v>0</v>
      </c>
      <c r="L26" s="22">
        <f>K26*D26</f>
        <v/>
      </c>
      <c r="M26" s="23">
        <f>IF(I26=0,0,K26/I26)</f>
        <v/>
      </c>
      <c r="N26" s="24">
        <f>IF(G26=0,0,K26/G26)</f>
        <v/>
      </c>
      <c r="O26" s="25">
        <f>K26*F26</f>
        <v/>
      </c>
      <c r="P26" s="26">
        <f>K26*E26</f>
        <v/>
      </c>
      <c r="Q26" s="27">
        <f>L26/1000*J26</f>
        <v/>
      </c>
      <c r="R26" s="28" t="inlineStr">
        <is>
          <t>PIZZA</t>
        </is>
      </c>
    </row>
    <row r="27" ht="20" customHeight="1">
      <c r="A27" s="36" t="inlineStr">
        <is>
          <t>TOPLAM / GRAND TOTAL</t>
        </is>
      </c>
      <c r="K27" s="37">
        <f>SUM(K7:K26)</f>
        <v/>
      </c>
      <c r="L27" s="37">
        <f>SUM(L7:L26)</f>
        <v/>
      </c>
      <c r="M27" s="38">
        <f>SUM(M7:M26)</f>
        <v/>
      </c>
      <c r="N27" s="39" t="n"/>
      <c r="O27" s="40">
        <f>SUM(O7:O26)</f>
        <v/>
      </c>
      <c r="P27" s="41">
        <f>SUM(P7:P26)</f>
        <v/>
      </c>
      <c r="Q27" s="42">
        <f>SUM(Q7:Q26)</f>
        <v/>
      </c>
    </row>
    <row r="28" ht="48" customHeight="1">
      <c r="A28" s="43" t="inlineStr">
        <is>
          <t>*** SIPARIS (KOLI) sutununa yalnizca KOLI/SIRA (G sutunu) degerinin KATLARI girilebilir (1 palet sirasi = 1 tam sira; ornek Diamond Fork 12/sira -&gt; 12,24,36,48...). Yanlis katta Excel uyari verir. | PALET (esdeger) yarim paletleri de kapsar; gercek fiziksel palet ve TIR dolulugu icin 'PALET &amp; TIR OZETI' sayfasina bakin. | NAVIPACK standart TIR = 90 m3 (dolum hacme gore hesaplanir).</t>
        </is>
      </c>
    </row>
  </sheetData>
  <mergeCells count="12">
    <mergeCell ref="O3:P3"/>
    <mergeCell ref="Q3:R3"/>
    <mergeCell ref="Q1:R1"/>
    <mergeCell ref="A27:J27"/>
    <mergeCell ref="K1:L1"/>
    <mergeCell ref="A28:R28"/>
    <mergeCell ref="O1:P1"/>
    <mergeCell ref="A1:E4"/>
    <mergeCell ref="M3:N3"/>
    <mergeCell ref="M1:N1"/>
    <mergeCell ref="G1:I1"/>
    <mergeCell ref="K3:L3"/>
  </mergeCells>
  <dataValidations count="1">
    <dataValidation sqref="K7:K26" showDropDown="0" showInputMessage="1" showErrorMessage="1" allowBlank="1" errorTitle="GECERSIZ ADET" error="Girdiginiz sayi KOLI/SIRA (G sutunu) degerinin tam kati degil. Lutfen tam sira olacak sekilde girin (or. 12'nin katlari)." promptTitle="SIPARIS (KOLI)" prompt="KOLI cinsinden girin. KOLI/SIRA (G) sutununun KATI olmalidir; boylece her palet sirasi tek urunle dolar ve yarim paletler duzgun birlesir.&#10;Ornek Diamond Fork (12/sira): 12,24,36,48,60..." type="custom">
      <formula1>=AND(K7&gt;=0,MOD(K7,G7)=0)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3" customWidth="1" min="2" max="2"/>
    <col width="14" customWidth="1" min="3" max="3"/>
    <col width="11" customWidth="1" min="4" max="4"/>
    <col width="15" customWidth="1" min="5" max="5"/>
    <col width="14" customWidth="1" min="6" max="6"/>
    <col width="12" customWidth="1" min="7" max="7"/>
    <col hidden="1" width="13" customWidth="1" min="9" max="9"/>
  </cols>
  <sheetData>
    <row r="1">
      <c r="A1" s="44" t="inlineStr">
        <is>
          <t>PALET &amp; TIR OZETI / PALLET &amp; TRUCK CONSOLIDATION</t>
        </is>
      </c>
    </row>
    <row r="2"/>
    <row r="3">
      <c r="A3" s="45" t="inlineStr">
        <is>
          <t>Yarim paletler ONCELIKLE ayni urun ailesi icinde birlestirilir (Diamond'lar Diamond'larla, Premium'lar Premium'larla, kasiklar kasiklarla). Cok az sayidaki kalanlar 'palet ustu dokme' olarak mevcut paletlerin ustune yuklenebilir. 'GERCEK PALET' = her ailenin palet-esdegerinin yukari yuvarlanmisi.</t>
        </is>
      </c>
    </row>
    <row r="4"/>
    <row r="6" ht="30" customHeight="1">
      <c r="A6" s="10" t="n"/>
      <c r="B6" s="10" t="n"/>
      <c r="C6" s="10" t="n"/>
      <c r="D6" s="10" t="n"/>
      <c r="E6" s="10" t="n"/>
      <c r="F6" s="10" t="n"/>
      <c r="G6" s="10" t="n"/>
    </row>
    <row r="7">
      <c r="A7" s="15" t="inlineStr">
        <is>
          <t>DIAMOND CUTLERY</t>
        </is>
      </c>
      <c r="B7" s="46">
        <f>SUMIF('SIPARIS - ORDER'!$R$7:$R$26,$I7,'SIPARIS - ORDER'!$K$7:$K$26)</f>
        <v/>
      </c>
      <c r="C7" s="47">
        <f>SUMIF('SIPARIS - ORDER'!$R$7:$R$26,$I7,'SIPARIS - ORDER'!$M$7:$M$26)</f>
        <v/>
      </c>
      <c r="D7" s="48">
        <f>INT(C7)</f>
        <v/>
      </c>
      <c r="E7" s="49">
        <f>IF(C7=0,0,CEILING(C7,1))</f>
        <v/>
      </c>
      <c r="F7" s="50">
        <f>SUMIF('SIPARIS - ORDER'!$R$7:$R$26,$I7,'SIPARIS - ORDER'!$O$7:$O$26)</f>
        <v/>
      </c>
      <c r="G7" s="51">
        <f>SUMIF('SIPARIS - ORDER'!$R$7:$R$26,$I7,'SIPARIS - ORDER'!$P$7:$P$26)</f>
        <v/>
      </c>
      <c r="I7" t="inlineStr">
        <is>
          <t>DIAMOND</t>
        </is>
      </c>
    </row>
    <row r="8">
      <c r="A8" s="15" t="inlineStr">
        <is>
          <t>PREMIUM CUTLERY</t>
        </is>
      </c>
      <c r="B8" s="46">
        <f>SUMIF('SIPARIS - ORDER'!$R$7:$R$26,$I8,'SIPARIS - ORDER'!$K$7:$K$26)</f>
        <v/>
      </c>
      <c r="C8" s="47">
        <f>SUMIF('SIPARIS - ORDER'!$R$7:$R$26,$I8,'SIPARIS - ORDER'!$M$7:$M$26)</f>
        <v/>
      </c>
      <c r="D8" s="48">
        <f>INT(C8)</f>
        <v/>
      </c>
      <c r="E8" s="49">
        <f>IF(C8=0,0,CEILING(C8,1))</f>
        <v/>
      </c>
      <c r="F8" s="50">
        <f>SUMIF('SIPARIS - ORDER'!$R$7:$R$26,$I8,'SIPARIS - ORDER'!$O$7:$O$26)</f>
        <v/>
      </c>
      <c r="G8" s="51">
        <f>SUMIF('SIPARIS - ORDER'!$R$7:$R$26,$I8,'SIPARIS - ORDER'!$P$7:$P$26)</f>
        <v/>
      </c>
      <c r="I8" t="inlineStr">
        <is>
          <t>PREMIUM</t>
        </is>
      </c>
    </row>
    <row r="9">
      <c r="A9" s="15" t="inlineStr">
        <is>
          <t>SMART FORK</t>
        </is>
      </c>
      <c r="B9" s="46">
        <f>SUMIF('SIPARIS - ORDER'!$R$7:$R$26,$I9,'SIPARIS - ORDER'!$K$7:$K$26)</f>
        <v/>
      </c>
      <c r="C9" s="47">
        <f>SUMIF('SIPARIS - ORDER'!$R$7:$R$26,$I9,'SIPARIS - ORDER'!$M$7:$M$26)</f>
        <v/>
      </c>
      <c r="D9" s="48">
        <f>INT(C9)</f>
        <v/>
      </c>
      <c r="E9" s="49">
        <f>IF(C9=0,0,CEILING(C9,1))</f>
        <v/>
      </c>
      <c r="F9" s="50">
        <f>SUMIF('SIPARIS - ORDER'!$R$7:$R$26,$I9,'SIPARIS - ORDER'!$O$7:$O$26)</f>
        <v/>
      </c>
      <c r="G9" s="51">
        <f>SUMIF('SIPARIS - ORDER'!$R$7:$R$26,$I9,'SIPARIS - ORDER'!$P$7:$P$26)</f>
        <v/>
      </c>
      <c r="I9" t="inlineStr">
        <is>
          <t>SMART</t>
        </is>
      </c>
    </row>
    <row r="10">
      <c r="A10" s="15" t="inlineStr">
        <is>
          <t>ICE CREAM SPOON</t>
        </is>
      </c>
      <c r="B10" s="46">
        <f>SUMIF('SIPARIS - ORDER'!$R$7:$R$26,$I10,'SIPARIS - ORDER'!$K$7:$K$26)</f>
        <v/>
      </c>
      <c r="C10" s="47">
        <f>SUMIF('SIPARIS - ORDER'!$R$7:$R$26,$I10,'SIPARIS - ORDER'!$M$7:$M$26)</f>
        <v/>
      </c>
      <c r="D10" s="48">
        <f>INT(C10)</f>
        <v/>
      </c>
      <c r="E10" s="49">
        <f>IF(C10=0,0,CEILING(C10,1))</f>
        <v/>
      </c>
      <c r="F10" s="50">
        <f>SUMIF('SIPARIS - ORDER'!$R$7:$R$26,$I10,'SIPARIS - ORDER'!$O$7:$O$26)</f>
        <v/>
      </c>
      <c r="G10" s="51">
        <f>SUMIF('SIPARIS - ORDER'!$R$7:$R$26,$I10,'SIPARIS - ORDER'!$P$7:$P$26)</f>
        <v/>
      </c>
      <c r="I10" t="inlineStr">
        <is>
          <t>ICE CREAM</t>
        </is>
      </c>
    </row>
    <row r="11">
      <c r="A11" s="15" t="inlineStr">
        <is>
          <t>GLASSES / CUPS</t>
        </is>
      </c>
      <c r="B11" s="46">
        <f>SUMIF('SIPARIS - ORDER'!$R$7:$R$26,$I11,'SIPARIS - ORDER'!$K$7:$K$26)</f>
        <v/>
      </c>
      <c r="C11" s="47">
        <f>SUMIF('SIPARIS - ORDER'!$R$7:$R$26,$I11,'SIPARIS - ORDER'!$M$7:$M$26)</f>
        <v/>
      </c>
      <c r="D11" s="48">
        <f>INT(C11)</f>
        <v/>
      </c>
      <c r="E11" s="49">
        <f>IF(C11=0,0,CEILING(C11,1))</f>
        <v/>
      </c>
      <c r="F11" s="50">
        <f>SUMIF('SIPARIS - ORDER'!$R$7:$R$26,$I11,'SIPARIS - ORDER'!$O$7:$O$26)</f>
        <v/>
      </c>
      <c r="G11" s="51">
        <f>SUMIF('SIPARIS - ORDER'!$R$7:$R$26,$I11,'SIPARIS - ORDER'!$P$7:$P$26)</f>
        <v/>
      </c>
      <c r="I11" t="inlineStr">
        <is>
          <t>GLASS</t>
        </is>
      </c>
    </row>
    <row r="12">
      <c r="A12" s="15" t="inlineStr">
        <is>
          <t>PIZZA TRIPOD</t>
        </is>
      </c>
      <c r="B12" s="46">
        <f>SUMIF('SIPARIS - ORDER'!$R$7:$R$26,$I12,'SIPARIS - ORDER'!$K$7:$K$26)</f>
        <v/>
      </c>
      <c r="C12" s="47">
        <f>SUMIF('SIPARIS - ORDER'!$R$7:$R$26,$I12,'SIPARIS - ORDER'!$M$7:$M$26)</f>
        <v/>
      </c>
      <c r="D12" s="48">
        <f>INT(C12)</f>
        <v/>
      </c>
      <c r="E12" s="49">
        <f>IF(C12=0,0,CEILING(C12,1))</f>
        <v/>
      </c>
      <c r="F12" s="50">
        <f>SUMIF('SIPARIS - ORDER'!$R$7:$R$26,$I12,'SIPARIS - ORDER'!$O$7:$O$26)</f>
        <v/>
      </c>
      <c r="G12" s="51">
        <f>SUMIF('SIPARIS - ORDER'!$R$7:$R$26,$I12,'SIPARIS - ORDER'!$P$7:$P$26)</f>
        <v/>
      </c>
      <c r="I12" t="inlineStr">
        <is>
          <t>PIZZA</t>
        </is>
      </c>
    </row>
    <row r="13">
      <c r="A13" s="52" t="inlineStr">
        <is>
          <t>TOPLAM / GRAND TOTAL</t>
        </is>
      </c>
      <c r="B13" s="37">
        <f>SUM(B7:B12)</f>
        <v/>
      </c>
      <c r="C13" s="38">
        <f>SUM(C7:C12)</f>
        <v/>
      </c>
      <c r="D13" s="53">
        <f>SUM(D7:D12)</f>
        <v/>
      </c>
      <c r="E13" s="53">
        <f>SUM(E7:E12)</f>
        <v/>
      </c>
      <c r="F13" s="40">
        <f>SUM(F7:F12)</f>
        <v/>
      </c>
      <c r="G13" s="41">
        <f>SUM(G7:G12)</f>
        <v/>
      </c>
    </row>
    <row r="15" ht="20" customHeight="1">
      <c r="A15" s="54" t="inlineStr">
        <is>
          <t>TIR / TRUCK YUKLEME (hacme gore / by volume)</t>
        </is>
      </c>
    </row>
    <row r="16">
      <c r="A16" s="55" t="inlineStr">
        <is>
          <t>TIR KAPASITESI (m3):</t>
        </is>
      </c>
      <c r="B16" s="56" t="n"/>
      <c r="C16" s="56" t="n"/>
      <c r="D16" s="56" t="n"/>
      <c r="E16" s="57">
        <f>'SIPARIS - ORDER'!$G$3</f>
        <v/>
      </c>
    </row>
    <row r="17">
      <c r="A17" s="55" t="inlineStr">
        <is>
          <t>TOPLAM SIPARIS HACMI (m3):</t>
        </is>
      </c>
      <c r="B17" s="56" t="n"/>
      <c r="C17" s="56" t="n"/>
      <c r="D17" s="56" t="n"/>
      <c r="E17" s="57">
        <f>G13</f>
        <v/>
      </c>
    </row>
    <row r="18">
      <c r="A18" s="55" t="inlineStr">
        <is>
          <t>TIR DOLULUK ORANI:</t>
        </is>
      </c>
      <c r="B18" s="56" t="n"/>
      <c r="C18" s="56" t="n"/>
      <c r="D18" s="56" t="n"/>
      <c r="E18" s="58">
        <f>IF(E16=0,0,G13/E16)</f>
        <v/>
      </c>
    </row>
    <row r="19">
      <c r="A19" s="55" t="inlineStr">
        <is>
          <t>GEREKEN TIR ADEDI:</t>
        </is>
      </c>
      <c r="B19" s="56" t="n"/>
      <c r="C19" s="56" t="n"/>
      <c r="D19" s="56" t="n"/>
      <c r="E19" s="59">
        <f>IF(E16=0,0,CEILING(G13/E16,1))</f>
        <v/>
      </c>
    </row>
    <row r="20">
      <c r="A20" s="55" t="inlineStr">
        <is>
          <t>SON TIR'DA BOS HACIM (m3):</t>
        </is>
      </c>
      <c r="B20" s="56" t="n"/>
      <c r="C20" s="56" t="n"/>
      <c r="D20" s="56" t="n"/>
      <c r="E20" s="57">
        <f>IF(E16=0,0,E19*E16-G13)</f>
        <v/>
      </c>
    </row>
    <row r="22">
      <c r="A22" s="60" t="inlineStr">
        <is>
          <t>NOT: TIR dolulugu HACME gore hesaplanir (NAVIPACK standart TIR = 90 m3; cift dorse = 120 m3 - ust taraftaki kapasiteyi degistirebilirsiniz). Farkli aileler yalnizca koli yukseklikleri uyumluysa ayni palette birlestirilebilir; bu durumda palet sayisi daha da dusebilir. Nihai istifleme fabrikada fiziksel olarak teyit edilir. Her palet sirasi TEK urunle dolmalidir.</t>
        </is>
      </c>
    </row>
    <row r="23"/>
    <row r="24"/>
    <row r="25"/>
  </sheetData>
  <mergeCells count="14">
    <mergeCell ref="A17:D17"/>
    <mergeCell ref="A18:D18"/>
    <mergeCell ref="E19:G19"/>
    <mergeCell ref="A1:G2"/>
    <mergeCell ref="A22:G25"/>
    <mergeCell ref="A3:G4"/>
    <mergeCell ref="A20:D20"/>
    <mergeCell ref="E17:G17"/>
    <mergeCell ref="E18:G18"/>
    <mergeCell ref="A15:G15"/>
    <mergeCell ref="A16:D16"/>
    <mergeCell ref="A19:D19"/>
    <mergeCell ref="E20:G20"/>
    <mergeCell ref="E16:G1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B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2" customWidth="1" min="2" max="2"/>
  </cols>
  <sheetData>
    <row r="1" ht="24" customHeight="1">
      <c r="B1" s="61" t="inlineStr">
        <is>
          <t>NAVIPACK - SIPARIS &amp; HACIM HESAPLAMA / ORDER &amp; VOLUME CALCULATOR (v2)</t>
        </is>
      </c>
    </row>
    <row r="2">
      <c r="B2" s="62" t="inlineStr"/>
    </row>
    <row r="3">
      <c r="B3" s="63" t="inlineStr">
        <is>
          <t>NASIL KULLANILIR / HOW TO USE</t>
        </is>
      </c>
    </row>
    <row r="4">
      <c r="B4" s="62" t="inlineStr">
        <is>
          <t>1) 'SIPARIS - ORDER' sayfasinda SADECE sari 'SIPARIS (KOLI)' sutununu (K) doldurun.</t>
        </is>
      </c>
    </row>
    <row r="5">
      <c r="B5" s="62" t="inlineStr">
        <is>
          <t xml:space="preserve">   Ustten Musteri, Tarih ve TIR Kapasitesini (varsayilan 90 m3) girin.</t>
        </is>
      </c>
    </row>
    <row r="6">
      <c r="B6" s="62" t="inlineStr">
        <is>
          <t>2) Ust bantta anlik KPI'lar: Toplam Hacim, TIR Doluluk %, Gereken TIR adedi, Toplam Tutar.</t>
        </is>
      </c>
    </row>
    <row r="7">
      <c r="B7" s="62" t="inlineStr">
        <is>
          <t>3) 'PALET &amp; TIR OZETI' sayfasi paletleri aile bazinda birlestirir ve TIR dolulugunu gosterir.</t>
        </is>
      </c>
    </row>
    <row r="8">
      <c r="B8" s="62" t="inlineStr"/>
    </row>
    <row r="9">
      <c r="B9" s="63" t="inlineStr">
        <is>
          <t>NEDEN KOLI/SIRA'NIN KATLARI? / WHY MULTIPLES OF BOX-PER-LAYER?</t>
        </is>
      </c>
    </row>
    <row r="10">
      <c r="B10" s="62" t="inlineStr">
        <is>
          <t>Musteri her zaman paletli (100x120 cm) yukleme yapar. Bir palet sirasina FARKLI urun dizilirse koli</t>
        </is>
      </c>
    </row>
    <row r="11">
      <c r="B11" s="62" t="inlineStr">
        <is>
          <t>yukseklikleri farkli olur ve palet dengesiz yukselir. Bu yuzden her sira TEK urunle DOLU olmalidir;</t>
        </is>
      </c>
    </row>
    <row r="12">
      <c r="B12" s="62" t="inlineStr">
        <is>
          <t>siparis daima tam sira (KOLI/SIRA'nin kati) girilir. Boylece kalan yarim paletler duzgun birlesir.</t>
        </is>
      </c>
    </row>
    <row r="13">
      <c r="B13" s="62" t="inlineStr">
        <is>
          <t>Ornek: Diamond Fork 1 sirada 12 koli -&gt; 12, 24, 36, 48 ... (45 yerine 48).</t>
        </is>
      </c>
    </row>
    <row r="14">
      <c r="B14" s="62" t="inlineStr"/>
    </row>
    <row r="15">
      <c r="B15" s="63" t="inlineStr">
        <is>
          <t>ADET -&gt; KOLI / UNITS -&gt; BOXES</t>
        </is>
      </c>
    </row>
    <row r="16">
      <c r="B16" s="62" t="inlineStr">
        <is>
          <t>Siparis cogu zaman ADET konusulur. 1 kolideki adet 'ADET/KOLI' sutunundadir (or. Diamond 2.000).</t>
        </is>
      </c>
    </row>
    <row r="17">
      <c r="B17" s="62" t="inlineStr">
        <is>
          <t>600.000 adet Diamond Fork / 2.000 = 300 koli. 1 palet = 120 koli -&gt; 300 koli = 2 tam palet + yarim palet.</t>
        </is>
      </c>
    </row>
    <row r="18">
      <c r="B18" s="62" t="inlineStr"/>
    </row>
    <row r="19">
      <c r="B19" s="63" t="inlineStr">
        <is>
          <t>YARIM PALET BIRLESTIRME &amp; PALET USTU DOKME</t>
        </is>
      </c>
    </row>
    <row r="20">
      <c r="B20" s="62" t="inlineStr">
        <is>
          <t>Oncelik ayni aile: Diamond'lar Diamond'larla, Premium'lar Premium'larla, kasiklar kasiklarla.</t>
        </is>
      </c>
    </row>
    <row r="21">
      <c r="B21" s="62" t="inlineStr">
        <is>
          <t>Cok az sayidaki kalan koliler (or. birkac koli Wavy/Shot Glass) 'palet ustu dokme' olarak mevcut</t>
        </is>
      </c>
    </row>
    <row r="22">
      <c r="B22" s="62" t="inlineStr">
        <is>
          <t>paletlerin ustune yerlestirilebilir. 'PALET &amp; TIR OZETI' bu birlestirmeyi ozetler.</t>
        </is>
      </c>
    </row>
    <row r="23">
      <c r="B23" s="62" t="inlineStr"/>
    </row>
    <row r="24">
      <c r="B24" s="63" t="inlineStr">
        <is>
          <t>TIR / TRUCK</t>
        </is>
      </c>
    </row>
    <row r="25">
      <c r="B25" s="62" t="inlineStr">
        <is>
          <t>NAVIPACK standart TIR = 90 m3 (dolum HACME gore). Cift dorse TIR = 120 m3.</t>
        </is>
      </c>
    </row>
    <row r="26">
      <c r="B26" s="62" t="inlineStr">
        <is>
          <t>Gereken TIR = Toplam Hacim / Kapasite (yukari yuvarlanir). FERPROM gibi tamamen dokme yukleyen</t>
        </is>
      </c>
    </row>
    <row r="27">
      <c r="B27" s="62" t="inlineStr">
        <is>
          <t>firmalarda palet yoktur; sadece toplam hacim TIR'a sigacak sekilde hesaplanir.</t>
        </is>
      </c>
    </row>
    <row r="28">
      <c r="B28" s="62" t="inlineStr"/>
    </row>
    <row r="29">
      <c r="B29" s="63" t="inlineStr">
        <is>
          <t>HESAPLAMALAR / FORMULAS</t>
        </is>
      </c>
    </row>
    <row r="30">
      <c r="B30" s="62" t="inlineStr">
        <is>
          <t>SIPARIS (ADET)  = Siparis Koli x Adet/Koli</t>
        </is>
      </c>
    </row>
    <row r="31">
      <c r="B31" s="62" t="inlineStr">
        <is>
          <t>PALET (esdeger) = Siparis Koli / (Koli/Palet)     [Koli/Palet = Koli/Sira x Sira/Palet]</t>
        </is>
      </c>
    </row>
    <row r="32">
      <c r="B32" s="62" t="inlineStr">
        <is>
          <t>TAM SIRA        = Siparis Koli / (Koli/Sira)</t>
        </is>
      </c>
    </row>
    <row r="33">
      <c r="B33" s="62" t="inlineStr">
        <is>
          <t>NET AGIRLIK kg  = Siparis Koli x (Adet/Koli x urun agirligi gr / 1000)</t>
        </is>
      </c>
    </row>
    <row r="34">
      <c r="B34" s="62" t="inlineStr">
        <is>
          <t>HACIM m3        = Siparis Koli x Koli Hacmi m3</t>
        </is>
      </c>
    </row>
    <row r="35">
      <c r="B35" s="62" t="inlineStr">
        <is>
          <t>TUTAR USD       = (Siparis Adet / 1000) x Birim Fiyat</t>
        </is>
      </c>
    </row>
    <row r="36">
      <c r="B36" s="62" t="inlineStr"/>
    </row>
    <row r="37">
      <c r="B37" s="63" t="inlineStr">
        <is>
          <t>RENK KODLARI / LEGEND</t>
        </is>
      </c>
    </row>
    <row r="38">
      <c r="B38" s="62" t="inlineStr">
        <is>
          <t>Sari = veri girisi (siz doldurun) | Yesil = otomatik sonuc | Gri = referans (aile) | Mavi bant = KPI.</t>
        </is>
      </c>
    </row>
    <row r="39">
      <c r="B39" s="62" t="inlineStr"/>
    </row>
    <row r="40">
      <c r="B40" s="63" t="inlineStr">
        <is>
          <t>KAYNAKLAR / SOURCES</t>
        </is>
      </c>
    </row>
    <row r="41">
      <c r="B41" s="62" t="inlineStr">
        <is>
          <t>Urun listesi, fiyatlar ve palet dizilimleri: NAVIPACK Price Offer 20.06.2026.</t>
        </is>
      </c>
    </row>
    <row r="42">
      <c r="B42" s="62" t="inlineStr">
        <is>
          <t>Palet dogrulama &amp; palet ustu dokme: NAVIPACK Volume Calculation 07.07.2026.</t>
        </is>
      </c>
    </row>
    <row r="43">
      <c r="B43" s="62" t="inlineStr">
        <is>
          <t>TIR kapasiteleri: NAVIPACK standart 90 m3, FERPROM cift dorse 120 m3.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2026-07-20T13:44:38Z</dcterms:created>
  <dcterms:modified xsi:type="dcterms:W3CDTF">2026-07-20T13:44:38Z</dcterms:modified>
</cp:coreProperties>
</file>