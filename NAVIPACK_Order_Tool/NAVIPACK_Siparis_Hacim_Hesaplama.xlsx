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PARIS - ORDER" sheetId="1" state="visible" r:id="rId1"/>
    <sheet name="PALET OZETI - PALLETS" sheetId="2" state="visible" r:id="rId2"/>
    <sheet name="ACIKLAMA - 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00"/>
    <numFmt numFmtId="166" formatCode="#,##0.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b val="1"/>
      <sz val="12"/>
    </font>
    <font>
      <i val="1"/>
      <color rgb="008080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sz val="9"/>
    </font>
    <font>
      <b val="1"/>
      <color rgb="00FFFFFF"/>
      <sz val="11"/>
    </font>
    <font>
      <i val="1"/>
      <color rgb="00C00000"/>
      <sz val="9"/>
    </font>
    <font>
      <b val="1"/>
      <color rgb="00FFFFFF"/>
      <sz val="13"/>
    </font>
    <font>
      <i val="1"/>
      <color rgb="00404040"/>
      <sz val="9"/>
    </font>
    <font>
      <color rgb="00FFFFFF"/>
    </font>
    <font>
      <b val="1"/>
      <color rgb="00FFFFFF"/>
    </font>
    <font>
      <sz val="10"/>
    </font>
    <font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548235"/>
      </patternFill>
    </fill>
    <fill>
      <patternFill patternType="solid">
        <fgColor rgb="00A6A6A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0" fontId="3" fillId="3" borderId="2" applyAlignment="1" pivotButton="0" quotePrefix="0" xfId="0">
      <alignment horizontal="center"/>
    </xf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0" borderId="1" pivotButton="0" quotePrefix="0" xfId="0"/>
    <xf numFmtId="0" fontId="7" fillId="0" borderId="1" applyAlignment="1" pivotButton="0" quotePrefix="0" xfId="0">
      <alignment horizontal="left" wrapText="1"/>
    </xf>
    <xf numFmtId="3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4" fontId="0" fillId="0" borderId="1" pivotButton="0" quotePrefix="0" xfId="0"/>
    <xf numFmtId="3" fontId="2" fillId="3" borderId="2" applyAlignment="1" pivotButton="0" quotePrefix="0" xfId="0">
      <alignment horizontal="center"/>
    </xf>
    <xf numFmtId="3" fontId="0" fillId="9" borderId="1" pivotButton="0" quotePrefix="0" xfId="0"/>
    <xf numFmtId="1" fontId="0" fillId="9" borderId="1" pivotButton="0" quotePrefix="0" xfId="0"/>
    <xf numFmtId="2" fontId="0" fillId="9" borderId="1" pivotButton="0" quotePrefix="0" xfId="0"/>
    <xf numFmtId="166" fontId="0" fillId="9" borderId="1" pivotButton="0" quotePrefix="0" xfId="0"/>
    <xf numFmtId="165" fontId="0" fillId="9" borderId="1" pivotButton="0" quotePrefix="0" xfId="0"/>
    <xf numFmtId="4" fontId="0" fillId="9" borderId="1" pivotButton="0" quotePrefix="0" xfId="0"/>
    <xf numFmtId="4" fontId="0" fillId="8" borderId="1" pivotButton="0" quotePrefix="0" xfId="0"/>
    <xf numFmtId="0" fontId="0" fillId="8" borderId="1" pivotButton="0" quotePrefix="0" xfId="0"/>
    <xf numFmtId="0" fontId="0" fillId="10" borderId="1" applyAlignment="1" pivotButton="0" quotePrefix="0" xfId="0">
      <alignment horizontal="center"/>
    </xf>
    <xf numFmtId="0" fontId="8" fillId="2" borderId="0" applyAlignment="1" pivotButton="0" quotePrefix="0" xfId="0">
      <alignment horizontal="right" vertical="center"/>
    </xf>
    <xf numFmtId="3" fontId="2" fillId="11" borderId="2" pivotButton="0" quotePrefix="0" xfId="0"/>
    <xf numFmtId="0" fontId="2" fillId="11" borderId="2" pivotButton="0" quotePrefix="0" xfId="0"/>
    <xf numFmtId="2" fontId="2" fillId="11" borderId="2" pivotButton="0" quotePrefix="0" xfId="0"/>
    <xf numFmtId="166" fontId="2" fillId="11" borderId="2" pivotButton="0" quotePrefix="0" xfId="0"/>
    <xf numFmtId="165" fontId="2" fillId="11" borderId="2" pivotButton="0" quotePrefix="0" xfId="0"/>
    <xf numFmtId="4" fontId="2" fillId="11" borderId="2" pivotButton="0" quotePrefix="0" xfId="0"/>
    <xf numFmtId="0" fontId="9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horizontal="left" vertical="center"/>
    </xf>
    <xf numFmtId="0" fontId="11" fillId="0" borderId="0" applyAlignment="1" pivotButton="0" quotePrefix="0" xfId="0">
      <alignment vertical="center" wrapText="1"/>
    </xf>
    <xf numFmtId="3" fontId="0" fillId="0" borderId="1" pivotButton="0" quotePrefix="0" xfId="0"/>
    <xf numFmtId="2" fontId="0" fillId="0" borderId="1" pivotButton="0" quotePrefix="0" xfId="0"/>
    <xf numFmtId="1" fontId="0" fillId="0" borderId="1" pivotButton="0" quotePrefix="0" xfId="0"/>
    <xf numFmtId="1" fontId="2" fillId="9" borderId="1" pivotButton="0" quotePrefix="0" xfId="0"/>
    <xf numFmtId="166" fontId="0" fillId="0" borderId="1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right"/>
    </xf>
    <xf numFmtId="1" fontId="2" fillId="11" borderId="2" pivotButton="0" quotePrefix="0" xfId="0"/>
    <xf numFmtId="0" fontId="11" fillId="0" borderId="0" applyAlignment="1" pivotButton="0" quotePrefix="0" xfId="0">
      <alignment vertical="top" wrapText="1"/>
    </xf>
    <xf numFmtId="0" fontId="10" fillId="2" borderId="0" applyAlignment="1" pivotButton="0" quotePrefix="0" xfId="0">
      <alignment vertical="center"/>
    </xf>
    <xf numFmtId="0" fontId="14" fillId="0" borderId="0" applyAlignment="1" pivotButton="0" quotePrefix="0" xfId="0">
      <alignment/>
    </xf>
    <xf numFmtId="0" fontId="15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NAVIPACK</author>
  </authors>
  <commentList>
    <comment ref="K5" authorId="0" shapeId="0">
      <text>
        <t>Siparisi KOLI (koli) cinsinden girin. Her hucre yalnizca KOLI/SIRA'nin katlarini kabul eder - boylece her palet sirasi tek urunle dolar ve yarim paletler duzgun birlesir.</t>
      </text>
    </comment>
    <comment ref="E13" authorId="0" shapeId="0">
      <text>
        <t>DIKKAT: Bu urun eldeki volume tablolarinda yok. Palet dizilimi (koli/sira, sira/palet) benzer urunlere gore TAHMIN edilmistir. Lutfen fabrikadan teyit ederek E ve F hucrelerini guncelleyin.
NOTE: arrangement is ASSUMED - please confirm with the factory.</t>
      </text>
    </comment>
    <comment ref="E16" authorId="0" shapeId="0">
      <text>
        <t>DIKKAT: Bu urun eldeki volume tablolarinda yok. Palet dizilimi (koli/sira, sira/palet) benzer urunlere gore TAHMIN edilmistir. Lutfen fabrikadan teyit ederek E ve F hucrelerini guncelleyin.
NOTE: arrangement is ASSUMED - please confirm with the factory.</t>
      </text>
    </comment>
    <comment ref="E17" authorId="0" shapeId="0">
      <text>
        <t>DIKKAT: Bu urun eldeki volume tablolarinda yok. Palet dizilimi (koli/sira, sira/palet) benzer urunlere gore TAHMIN edilmistir. Lutfen fabrikadan teyit ederek E ve F hucrelerini guncelleyin.
NOTE: arrangement is ASSUMED - please confirm with the factory.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2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1" customWidth="1" min="10" max="10"/>
    <col width="12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13" customWidth="1" min="17" max="17"/>
    <col width="9" customWidth="1" min="18" max="18"/>
    <col width="9" customWidth="1" min="19" max="19"/>
    <col width="9" customWidth="1" min="20" max="20"/>
    <col width="13" customWidth="1" min="21" max="21"/>
  </cols>
  <sheetData>
    <row r="1">
      <c r="A1" s="1" t="inlineStr">
        <is>
          <t>NAVIPACK LLC
SIPARIS &amp; HACIM HESAPLAMA / ORDER &amp; VOLUME CALCULATOR</t>
        </is>
      </c>
      <c r="E1" s="2" t="inlineStr">
        <is>
          <t>MUSTERI / CUSTOMER:</t>
        </is>
      </c>
      <c r="K1" s="3" t="inlineStr"/>
    </row>
    <row r="2">
      <c r="E2" s="2" t="inlineStr">
        <is>
          <t>TARIH / DATE:</t>
        </is>
      </c>
      <c r="K2" s="4">
        <f>TODAY()</f>
        <v/>
      </c>
    </row>
    <row r="3">
      <c r="E3" s="2" t="inlineStr">
        <is>
          <t>FIYAT KADEMESI (1=L / 2=M / 3=N) / PRICE TIER:</t>
        </is>
      </c>
      <c r="K3" s="5" t="n">
        <v>3</v>
      </c>
      <c r="L3" s="6" t="inlineStr">
        <is>
          <t>&lt;-- Buradan 1, 2 veya 3 secin. Secilen kademe J sutununu ve tutari belirler.</t>
        </is>
      </c>
    </row>
    <row r="5" ht="30" customHeight="1">
      <c r="A5" s="7" t="inlineStr">
        <is>
          <t>NO</t>
        </is>
      </c>
      <c r="B5" s="7" t="inlineStr">
        <is>
          <t>URUN / PRODUCT</t>
        </is>
      </c>
      <c r="C5" s="7" t="inlineStr">
        <is>
          <t>RENK / COLOUR</t>
        </is>
      </c>
      <c r="D5" s="7" t="inlineStr">
        <is>
          <t>ADET / KOLI
(units/box)</t>
        </is>
      </c>
      <c r="E5" s="7" t="inlineStr">
        <is>
          <t>KOLI / SIRA
(box/row)</t>
        </is>
      </c>
      <c r="F5" s="7" t="inlineStr">
        <is>
          <t>SIRA / PALET
(row/pallet)</t>
        </is>
      </c>
      <c r="G5" s="7" t="inlineStr">
        <is>
          <t>KOLI / PALET
(box/pallet)</t>
        </is>
      </c>
      <c r="H5" s="7" t="inlineStr">
        <is>
          <t>KOLI HACMI
m3 (vol/box)</t>
        </is>
      </c>
      <c r="I5" s="7" t="inlineStr">
        <is>
          <t>KOLI NET kg
(net/box)</t>
        </is>
      </c>
      <c r="J5" s="7" t="inlineStr">
        <is>
          <t>BIRIM FIYAT
/1000 (secili)</t>
        </is>
      </c>
      <c r="K5" s="8" t="inlineStr">
        <is>
          <t>SIPARIS
(KOLI)  ***</t>
        </is>
      </c>
      <c r="L5" s="9" t="inlineStr">
        <is>
          <t>SIPARIS
(ADET)</t>
        </is>
      </c>
      <c r="M5" s="9" t="inlineStr">
        <is>
          <t>TAM SIRA
(full rows)</t>
        </is>
      </c>
      <c r="N5" s="9" t="inlineStr">
        <is>
          <t>PALET
(esdeger)</t>
        </is>
      </c>
      <c r="O5" s="9" t="inlineStr">
        <is>
          <t>NET AGIRLIK
kg</t>
        </is>
      </c>
      <c r="P5" s="9" t="inlineStr">
        <is>
          <t>HACIM
m3</t>
        </is>
      </c>
      <c r="Q5" s="9" t="inlineStr">
        <is>
          <t>TUTAR
USD</t>
        </is>
      </c>
      <c r="R5" s="10" t="inlineStr">
        <is>
          <t>Fiyat-1 (L)</t>
        </is>
      </c>
      <c r="S5" s="10" t="inlineStr">
        <is>
          <t>Fiyat-2 (M)</t>
        </is>
      </c>
      <c r="T5" s="10" t="inlineStr">
        <is>
          <t>Fiyat-3 (N)</t>
        </is>
      </c>
      <c r="U5" s="10" t="inlineStr">
        <is>
          <t>AILE / FAMILY</t>
        </is>
      </c>
    </row>
    <row r="6">
      <c r="A6" s="11" t="n">
        <v>1</v>
      </c>
      <c r="B6" s="12" t="inlineStr">
        <is>
          <t>PREMIUM FORK</t>
        </is>
      </c>
      <c r="C6" s="13" t="inlineStr">
        <is>
          <t>TRANSPARENT / BLACK</t>
        </is>
      </c>
      <c r="D6" s="14" t="n">
        <v>2000</v>
      </c>
      <c r="E6" s="11" t="n">
        <v>7</v>
      </c>
      <c r="F6" s="11" t="n">
        <v>10</v>
      </c>
      <c r="G6" s="11">
        <f>E6*F6</f>
        <v/>
      </c>
      <c r="H6" s="15" t="n">
        <v>0.024</v>
      </c>
      <c r="I6" s="16">
        <f>D6*2.8/1000</f>
        <v/>
      </c>
      <c r="J6" s="17">
        <f>CHOOSE($K$3,R6,S6,T6)</f>
        <v/>
      </c>
      <c r="K6" s="18" t="n">
        <v>0</v>
      </c>
      <c r="L6" s="19">
        <f>K6*D6</f>
        <v/>
      </c>
      <c r="M6" s="20">
        <f>IF(E6=0,0,K6/E6)</f>
        <v/>
      </c>
      <c r="N6" s="21">
        <f>IF(G6=0,0,K6/G6)</f>
        <v/>
      </c>
      <c r="O6" s="22">
        <f>K6*I6</f>
        <v/>
      </c>
      <c r="P6" s="23">
        <f>K6*H6</f>
        <v/>
      </c>
      <c r="Q6" s="24">
        <f>L6/1000*J6</f>
        <v/>
      </c>
      <c r="R6" s="25" t="n">
        <v>6.25</v>
      </c>
      <c r="S6" s="25" t="n">
        <v>7</v>
      </c>
      <c r="T6" s="25" t="n">
        <v>7.5</v>
      </c>
      <c r="U6" s="26" t="inlineStr">
        <is>
          <t>PREMIUM</t>
        </is>
      </c>
    </row>
    <row r="7">
      <c r="A7" s="11" t="n">
        <v>2</v>
      </c>
      <c r="B7" s="12" t="inlineStr">
        <is>
          <t>PREMIUM SPOON</t>
        </is>
      </c>
      <c r="C7" s="13" t="inlineStr">
        <is>
          <t>TRANSPARENT / BLACK</t>
        </is>
      </c>
      <c r="D7" s="14" t="n">
        <v>2000</v>
      </c>
      <c r="E7" s="11" t="n">
        <v>7</v>
      </c>
      <c r="F7" s="11" t="n">
        <v>8</v>
      </c>
      <c r="G7" s="11">
        <f>E7*F7</f>
        <v/>
      </c>
      <c r="H7" s="15" t="n">
        <v>0.028</v>
      </c>
      <c r="I7" s="16">
        <f>D7*2.8/1000</f>
        <v/>
      </c>
      <c r="J7" s="17">
        <f>CHOOSE($K$3,R7,S7,T7)</f>
        <v/>
      </c>
      <c r="K7" s="18" t="n">
        <v>0</v>
      </c>
      <c r="L7" s="19">
        <f>K7*D7</f>
        <v/>
      </c>
      <c r="M7" s="20">
        <f>IF(E7=0,0,K7/E7)</f>
        <v/>
      </c>
      <c r="N7" s="21">
        <f>IF(G7=0,0,K7/G7)</f>
        <v/>
      </c>
      <c r="O7" s="22">
        <f>K7*I7</f>
        <v/>
      </c>
      <c r="P7" s="23">
        <f>K7*H7</f>
        <v/>
      </c>
      <c r="Q7" s="24">
        <f>L7/1000*J7</f>
        <v/>
      </c>
      <c r="R7" s="25" t="n">
        <v>6.25</v>
      </c>
      <c r="S7" s="25" t="n">
        <v>7</v>
      </c>
      <c r="T7" s="25" t="n">
        <v>7.5</v>
      </c>
      <c r="U7" s="26" t="inlineStr">
        <is>
          <t>PREMIUM</t>
        </is>
      </c>
    </row>
    <row r="8">
      <c r="A8" s="11" t="n">
        <v>3</v>
      </c>
      <c r="B8" s="12" t="inlineStr">
        <is>
          <t>PREMIUM KNIFE</t>
        </is>
      </c>
      <c r="C8" s="13" t="inlineStr">
        <is>
          <t>TRANSPARENT / BLACK</t>
        </is>
      </c>
      <c r="D8" s="14" t="n">
        <v>2000</v>
      </c>
      <c r="E8" s="11" t="n">
        <v>7</v>
      </c>
      <c r="F8" s="11" t="n">
        <v>11</v>
      </c>
      <c r="G8" s="11">
        <f>E8*F8</f>
        <v/>
      </c>
      <c r="H8" s="15" t="n">
        <v>0.018</v>
      </c>
      <c r="I8" s="16">
        <f>D8*2.8/1000</f>
        <v/>
      </c>
      <c r="J8" s="17">
        <f>CHOOSE($K$3,R8,S8,T8)</f>
        <v/>
      </c>
      <c r="K8" s="18" t="n">
        <v>0</v>
      </c>
      <c r="L8" s="19">
        <f>K8*D8</f>
        <v/>
      </c>
      <c r="M8" s="20">
        <f>IF(E8=0,0,K8/E8)</f>
        <v/>
      </c>
      <c r="N8" s="21">
        <f>IF(G8=0,0,K8/G8)</f>
        <v/>
      </c>
      <c r="O8" s="22">
        <f>K8*I8</f>
        <v/>
      </c>
      <c r="P8" s="23">
        <f>K8*H8</f>
        <v/>
      </c>
      <c r="Q8" s="24">
        <f>L8/1000*J8</f>
        <v/>
      </c>
      <c r="R8" s="25" t="n">
        <v>6.25</v>
      </c>
      <c r="S8" s="25" t="n">
        <v>7</v>
      </c>
      <c r="T8" s="25" t="n">
        <v>7.5</v>
      </c>
      <c r="U8" s="26" t="inlineStr">
        <is>
          <t>PREMIUM</t>
        </is>
      </c>
    </row>
    <row r="9">
      <c r="A9" s="11" t="n">
        <v>4</v>
      </c>
      <c r="B9" s="12" t="inlineStr">
        <is>
          <t>PREMIUM DESSERT SPOON</t>
        </is>
      </c>
      <c r="C9" s="13" t="inlineStr">
        <is>
          <t>TRANSPARENT / BLACK</t>
        </is>
      </c>
      <c r="D9" s="14" t="n">
        <v>2000</v>
      </c>
      <c r="E9" s="11" t="n">
        <v>7</v>
      </c>
      <c r="F9" s="11" t="n">
        <v>10</v>
      </c>
      <c r="G9" s="11">
        <f>E9*F9</f>
        <v/>
      </c>
      <c r="H9" s="15" t="n">
        <v>0.019</v>
      </c>
      <c r="I9" s="16">
        <f>D9*2.5/1000</f>
        <v/>
      </c>
      <c r="J9" s="17">
        <f>CHOOSE($K$3,R9,S9,T9)</f>
        <v/>
      </c>
      <c r="K9" s="18" t="n">
        <v>0</v>
      </c>
      <c r="L9" s="19">
        <f>K9*D9</f>
        <v/>
      </c>
      <c r="M9" s="20">
        <f>IF(E9=0,0,K9/E9)</f>
        <v/>
      </c>
      <c r="N9" s="21">
        <f>IF(G9=0,0,K9/G9)</f>
        <v/>
      </c>
      <c r="O9" s="22">
        <f>K9*I9</f>
        <v/>
      </c>
      <c r="P9" s="23">
        <f>K9*H9</f>
        <v/>
      </c>
      <c r="Q9" s="24">
        <f>L9/1000*J9</f>
        <v/>
      </c>
      <c r="R9" s="25" t="n">
        <v>6</v>
      </c>
      <c r="S9" s="25" t="n">
        <v>6.7</v>
      </c>
      <c r="T9" s="25" t="n">
        <v>7.25</v>
      </c>
      <c r="U9" s="26" t="inlineStr">
        <is>
          <t>PREMIUM</t>
        </is>
      </c>
    </row>
    <row r="10">
      <c r="A10" s="11" t="n">
        <v>5</v>
      </c>
      <c r="B10" s="12" t="inlineStr">
        <is>
          <t>DIAMOND FORK</t>
        </is>
      </c>
      <c r="C10" s="13" t="inlineStr">
        <is>
          <t>TRANSPARENT / WHITE / BLACK</t>
        </is>
      </c>
      <c r="D10" s="14" t="n">
        <v>2000</v>
      </c>
      <c r="E10" s="11" t="n">
        <v>12</v>
      </c>
      <c r="F10" s="11" t="n">
        <v>10</v>
      </c>
      <c r="G10" s="11">
        <f>E10*F10</f>
        <v/>
      </c>
      <c r="H10" s="15" t="n">
        <v>0.024</v>
      </c>
      <c r="I10" s="16">
        <f>D10*3.8/1000</f>
        <v/>
      </c>
      <c r="J10" s="17">
        <f>CHOOSE($K$3,R10,S10,T10)</f>
        <v/>
      </c>
      <c r="K10" s="18" t="n">
        <v>0</v>
      </c>
      <c r="L10" s="19">
        <f>K10*D10</f>
        <v/>
      </c>
      <c r="M10" s="20">
        <f>IF(E10=0,0,K10/E10)</f>
        <v/>
      </c>
      <c r="N10" s="21">
        <f>IF(G10=0,0,K10/G10)</f>
        <v/>
      </c>
      <c r="O10" s="22">
        <f>K10*I10</f>
        <v/>
      </c>
      <c r="P10" s="23">
        <f>K10*H10</f>
        <v/>
      </c>
      <c r="Q10" s="24">
        <f>L10/1000*J10</f>
        <v/>
      </c>
      <c r="R10" s="25" t="n">
        <v>8.25</v>
      </c>
      <c r="S10" s="25" t="n">
        <v>9.25</v>
      </c>
      <c r="T10" s="25" t="n">
        <v>10</v>
      </c>
      <c r="U10" s="26" t="inlineStr">
        <is>
          <t>DIAMOND</t>
        </is>
      </c>
    </row>
    <row r="11">
      <c r="A11" s="11" t="n">
        <v>6</v>
      </c>
      <c r="B11" s="12" t="inlineStr">
        <is>
          <t>DIAMOND SPOON</t>
        </is>
      </c>
      <c r="C11" s="13" t="inlineStr">
        <is>
          <t>TRANSPARENT / WHITE / BLACK</t>
        </is>
      </c>
      <c r="D11" s="14" t="n">
        <v>2000</v>
      </c>
      <c r="E11" s="11" t="n">
        <v>12</v>
      </c>
      <c r="F11" s="11" t="n">
        <v>8</v>
      </c>
      <c r="G11" s="11">
        <f>E11*F11</f>
        <v/>
      </c>
      <c r="H11" s="15" t="n">
        <v>0.031</v>
      </c>
      <c r="I11" s="16">
        <f>D11*3.8/1000</f>
        <v/>
      </c>
      <c r="J11" s="17">
        <f>CHOOSE($K$3,R11,S11,T11)</f>
        <v/>
      </c>
      <c r="K11" s="18" t="n">
        <v>0</v>
      </c>
      <c r="L11" s="19">
        <f>K11*D11</f>
        <v/>
      </c>
      <c r="M11" s="20">
        <f>IF(E11=0,0,K11/E11)</f>
        <v/>
      </c>
      <c r="N11" s="21">
        <f>IF(G11=0,0,K11/G11)</f>
        <v/>
      </c>
      <c r="O11" s="22">
        <f>K11*I11</f>
        <v/>
      </c>
      <c r="P11" s="23">
        <f>K11*H11</f>
        <v/>
      </c>
      <c r="Q11" s="24">
        <f>L11/1000*J11</f>
        <v/>
      </c>
      <c r="R11" s="25" t="n">
        <v>8.25</v>
      </c>
      <c r="S11" s="25" t="n">
        <v>9.25</v>
      </c>
      <c r="T11" s="25" t="n">
        <v>10</v>
      </c>
      <c r="U11" s="26" t="inlineStr">
        <is>
          <t>DIAMOND</t>
        </is>
      </c>
    </row>
    <row r="12">
      <c r="A12" s="11" t="n">
        <v>7</v>
      </c>
      <c r="B12" s="12" t="inlineStr">
        <is>
          <t>DIAMOND KNIFE</t>
        </is>
      </c>
      <c r="C12" s="13" t="inlineStr">
        <is>
          <t>TRANSPARENT / WHITE / BLACK</t>
        </is>
      </c>
      <c r="D12" s="14" t="n">
        <v>2000</v>
      </c>
      <c r="E12" s="11" t="n">
        <v>12</v>
      </c>
      <c r="F12" s="11" t="n">
        <v>12</v>
      </c>
      <c r="G12" s="11">
        <f>E12*F12</f>
        <v/>
      </c>
      <c r="H12" s="15" t="n">
        <v>0.02</v>
      </c>
      <c r="I12" s="16">
        <f>D12*3.8/1000</f>
        <v/>
      </c>
      <c r="J12" s="17">
        <f>CHOOSE($K$3,R12,S12,T12)</f>
        <v/>
      </c>
      <c r="K12" s="18" t="n">
        <v>0</v>
      </c>
      <c r="L12" s="19">
        <f>K12*D12</f>
        <v/>
      </c>
      <c r="M12" s="20">
        <f>IF(E12=0,0,K12/E12)</f>
        <v/>
      </c>
      <c r="N12" s="21">
        <f>IF(G12=0,0,K12/G12)</f>
        <v/>
      </c>
      <c r="O12" s="22">
        <f>K12*I12</f>
        <v/>
      </c>
      <c r="P12" s="23">
        <f>K12*H12</f>
        <v/>
      </c>
      <c r="Q12" s="24">
        <f>L12/1000*J12</f>
        <v/>
      </c>
      <c r="R12" s="25" t="n">
        <v>8.25</v>
      </c>
      <c r="S12" s="25" t="n">
        <v>9.25</v>
      </c>
      <c r="T12" s="25" t="n">
        <v>10</v>
      </c>
      <c r="U12" s="26" t="inlineStr">
        <is>
          <t>DIAMOND</t>
        </is>
      </c>
    </row>
    <row r="13">
      <c r="A13" s="11" t="n">
        <v>8</v>
      </c>
      <c r="B13" s="12" t="inlineStr">
        <is>
          <t>SMART FORK</t>
        </is>
      </c>
      <c r="C13" s="13" t="inlineStr">
        <is>
          <t>TRANSPARENT / BLACK</t>
        </is>
      </c>
      <c r="D13" s="14" t="n">
        <v>2000</v>
      </c>
      <c r="E13" s="27" t="n">
        <v>12</v>
      </c>
      <c r="F13" s="27" t="n">
        <v>10</v>
      </c>
      <c r="G13" s="27">
        <f>E13*F13</f>
        <v/>
      </c>
      <c r="H13" s="15" t="n">
        <v>0.025</v>
      </c>
      <c r="I13" s="16">
        <f>D13*3.7/1000</f>
        <v/>
      </c>
      <c r="J13" s="17">
        <f>CHOOSE($K$3,R13,S13,T13)</f>
        <v/>
      </c>
      <c r="K13" s="18" t="n">
        <v>0</v>
      </c>
      <c r="L13" s="19">
        <f>K13*D13</f>
        <v/>
      </c>
      <c r="M13" s="20">
        <f>IF(E13=0,0,K13/E13)</f>
        <v/>
      </c>
      <c r="N13" s="21">
        <f>IF(G13=0,0,K13/G13)</f>
        <v/>
      </c>
      <c r="O13" s="22">
        <f>K13*I13</f>
        <v/>
      </c>
      <c r="P13" s="23">
        <f>K13*H13</f>
        <v/>
      </c>
      <c r="Q13" s="24">
        <f>L13/1000*J13</f>
        <v/>
      </c>
      <c r="R13" s="25" t="n">
        <v>8.75</v>
      </c>
      <c r="S13" s="25" t="n">
        <v>9</v>
      </c>
      <c r="T13" s="25" t="n">
        <v>9.75</v>
      </c>
      <c r="U13" s="26" t="inlineStr">
        <is>
          <t>SMART</t>
        </is>
      </c>
    </row>
    <row r="14">
      <c r="A14" s="11" t="n">
        <v>9</v>
      </c>
      <c r="B14" s="12" t="inlineStr">
        <is>
          <t>WAVY ICE CREAM SPOON</t>
        </is>
      </c>
      <c r="C14" s="13" t="inlineStr">
        <is>
          <t>COLORED (RED/BLUE/GREEN/ORANGE)</t>
        </is>
      </c>
      <c r="D14" s="14" t="n">
        <v>2000</v>
      </c>
      <c r="E14" s="11" t="n">
        <v>9</v>
      </c>
      <c r="F14" s="11" t="n">
        <v>7</v>
      </c>
      <c r="G14" s="11">
        <f>E14*F14</f>
        <v/>
      </c>
      <c r="H14" s="15" t="n">
        <v>0.025</v>
      </c>
      <c r="I14" s="16">
        <f>D14*2.4/1000</f>
        <v/>
      </c>
      <c r="J14" s="17">
        <f>CHOOSE($K$3,R14,S14,T14)</f>
        <v/>
      </c>
      <c r="K14" s="18" t="n">
        <v>0</v>
      </c>
      <c r="L14" s="19">
        <f>K14*D14</f>
        <v/>
      </c>
      <c r="M14" s="20">
        <f>IF(E14=0,0,K14/E14)</f>
        <v/>
      </c>
      <c r="N14" s="21">
        <f>IF(G14=0,0,K14/G14)</f>
        <v/>
      </c>
      <c r="O14" s="22">
        <f>K14*I14</f>
        <v/>
      </c>
      <c r="P14" s="23">
        <f>K14*H14</f>
        <v/>
      </c>
      <c r="Q14" s="24">
        <f>L14/1000*J14</f>
        <v/>
      </c>
      <c r="R14" s="25" t="n">
        <v>7</v>
      </c>
      <c r="S14" s="25" t="n">
        <v>7.85</v>
      </c>
      <c r="T14" s="25" t="n">
        <v>8.5</v>
      </c>
      <c r="U14" s="26" t="inlineStr">
        <is>
          <t>ICE CREAM</t>
        </is>
      </c>
    </row>
    <row r="15">
      <c r="A15" s="11" t="n">
        <v>10</v>
      </c>
      <c r="B15" s="12" t="inlineStr">
        <is>
          <t>120 CC CHAMPAGNE GLASS</t>
        </is>
      </c>
      <c r="C15" s="13" t="inlineStr">
        <is>
          <t>TRANSPARENT (FOOT COLORED)</t>
        </is>
      </c>
      <c r="D15" s="14" t="n">
        <v>300</v>
      </c>
      <c r="E15" s="11" t="n">
        <v>6</v>
      </c>
      <c r="F15" s="11" t="n">
        <v>6</v>
      </c>
      <c r="G15" s="11">
        <f>E15*F15</f>
        <v/>
      </c>
      <c r="H15" s="15" t="n">
        <v>0.053</v>
      </c>
      <c r="I15" s="16">
        <f>D15*12.5/1000</f>
        <v/>
      </c>
      <c r="J15" s="17">
        <f>CHOOSE($K$3,R15,S15,T15)</f>
        <v/>
      </c>
      <c r="K15" s="18" t="n">
        <v>0</v>
      </c>
      <c r="L15" s="19">
        <f>K15*D15</f>
        <v/>
      </c>
      <c r="M15" s="20">
        <f>IF(E15=0,0,K15/E15)</f>
        <v/>
      </c>
      <c r="N15" s="21">
        <f>IF(G15=0,0,K15/G15)</f>
        <v/>
      </c>
      <c r="O15" s="22">
        <f>K15*I15</f>
        <v/>
      </c>
      <c r="P15" s="23">
        <f>K15*H15</f>
        <v/>
      </c>
      <c r="Q15" s="24">
        <f>L15/1000*J15</f>
        <v/>
      </c>
      <c r="R15" s="25" t="n">
        <v>80</v>
      </c>
      <c r="S15" s="25" t="n">
        <v>90</v>
      </c>
      <c r="T15" s="25" t="n">
        <v>100</v>
      </c>
      <c r="U15" s="26" t="inlineStr">
        <is>
          <t>GLASS</t>
        </is>
      </c>
    </row>
    <row r="16">
      <c r="A16" s="11" t="n">
        <v>11</v>
      </c>
      <c r="B16" s="12" t="inlineStr">
        <is>
          <t>170 CC MINI WINE GLASS</t>
        </is>
      </c>
      <c r="C16" s="13" t="inlineStr">
        <is>
          <t>TRANSPARENT (FOOT COLORED)</t>
        </is>
      </c>
      <c r="D16" s="14" t="n">
        <v>300</v>
      </c>
      <c r="E16" s="27" t="n">
        <v>6</v>
      </c>
      <c r="F16" s="27" t="n">
        <v>6</v>
      </c>
      <c r="G16" s="27">
        <f>E16*F16</f>
        <v/>
      </c>
      <c r="H16" s="15" t="n">
        <v>0.049</v>
      </c>
      <c r="I16" s="16">
        <f>D16*12.5/1000</f>
        <v/>
      </c>
      <c r="J16" s="17">
        <f>CHOOSE($K$3,R16,S16,T16)</f>
        <v/>
      </c>
      <c r="K16" s="18" t="n">
        <v>0</v>
      </c>
      <c r="L16" s="19">
        <f>K16*D16</f>
        <v/>
      </c>
      <c r="M16" s="20">
        <f>IF(E16=0,0,K16/E16)</f>
        <v/>
      </c>
      <c r="N16" s="21">
        <f>IF(G16=0,0,K16/G16)</f>
        <v/>
      </c>
      <c r="O16" s="22">
        <f>K16*I16</f>
        <v/>
      </c>
      <c r="P16" s="23">
        <f>K16*H16</f>
        <v/>
      </c>
      <c r="Q16" s="24">
        <f>L16/1000*J16</f>
        <v/>
      </c>
      <c r="R16" s="25" t="n">
        <v>111</v>
      </c>
      <c r="S16" s="25" t="n">
        <v>105</v>
      </c>
      <c r="T16" s="25" t="n">
        <v>100</v>
      </c>
      <c r="U16" s="26" t="inlineStr">
        <is>
          <t>GLASS</t>
        </is>
      </c>
    </row>
    <row r="17">
      <c r="A17" s="11" t="n">
        <v>12</v>
      </c>
      <c r="B17" s="12" t="inlineStr">
        <is>
          <t>185 CC WINE GLASS</t>
        </is>
      </c>
      <c r="C17" s="13" t="inlineStr">
        <is>
          <t>TRANSPARENT (FOOT COLORED)</t>
        </is>
      </c>
      <c r="D17" s="14" t="n">
        <v>300</v>
      </c>
      <c r="E17" s="27" t="n">
        <v>6</v>
      </c>
      <c r="F17" s="27" t="n">
        <v>6</v>
      </c>
      <c r="G17" s="27">
        <f>E17*F17</f>
        <v/>
      </c>
      <c r="H17" s="15" t="n">
        <v>0.06</v>
      </c>
      <c r="I17" s="16">
        <f>D17*14.5/1000</f>
        <v/>
      </c>
      <c r="J17" s="17">
        <f>CHOOSE($K$3,R17,S17,T17)</f>
        <v/>
      </c>
      <c r="K17" s="18" t="n">
        <v>0</v>
      </c>
      <c r="L17" s="19">
        <f>K17*D17</f>
        <v/>
      </c>
      <c r="M17" s="20">
        <f>IF(E17=0,0,K17/E17)</f>
        <v/>
      </c>
      <c r="N17" s="21">
        <f>IF(G17=0,0,K17/G17)</f>
        <v/>
      </c>
      <c r="O17" s="22">
        <f>K17*I17</f>
        <v/>
      </c>
      <c r="P17" s="23">
        <f>K17*H17</f>
        <v/>
      </c>
      <c r="Q17" s="24">
        <f>L17/1000*J17</f>
        <v/>
      </c>
      <c r="R17" s="25" t="n">
        <v>130</v>
      </c>
      <c r="S17" s="25" t="n">
        <v>120</v>
      </c>
      <c r="T17" s="25" t="n">
        <v>110</v>
      </c>
      <c r="U17" s="26" t="inlineStr">
        <is>
          <t>GLASS</t>
        </is>
      </c>
    </row>
    <row r="18">
      <c r="A18" s="11" t="n">
        <v>13</v>
      </c>
      <c r="B18" s="12" t="inlineStr">
        <is>
          <t>PIZZA TRIPOD</t>
        </is>
      </c>
      <c r="C18" s="13" t="inlineStr">
        <is>
          <t>WHITE</t>
        </is>
      </c>
      <c r="D18" s="14" t="n">
        <v>1000</v>
      </c>
      <c r="E18" s="11" t="n">
        <v>9</v>
      </c>
      <c r="F18" s="11" t="n">
        <v>10</v>
      </c>
      <c r="G18" s="11">
        <f>E18*F18</f>
        <v/>
      </c>
      <c r="H18" s="15" t="n">
        <v>0.027</v>
      </c>
      <c r="I18" s="16">
        <f>D18*1.85/1000</f>
        <v/>
      </c>
      <c r="J18" s="17">
        <f>CHOOSE($K$3,R18,S18,T18)</f>
        <v/>
      </c>
      <c r="K18" s="18" t="n">
        <v>0</v>
      </c>
      <c r="L18" s="19">
        <f>K18*D18</f>
        <v/>
      </c>
      <c r="M18" s="20">
        <f>IF(E18=0,0,K18/E18)</f>
        <v/>
      </c>
      <c r="N18" s="21">
        <f>IF(G18=0,0,K18/G18)</f>
        <v/>
      </c>
      <c r="O18" s="22">
        <f>K18*I18</f>
        <v/>
      </c>
      <c r="P18" s="23">
        <f>K18*H18</f>
        <v/>
      </c>
      <c r="Q18" s="24">
        <f>L18/1000*J18</f>
        <v/>
      </c>
      <c r="R18" s="25" t="n">
        <v>6.5</v>
      </c>
      <c r="S18" s="25" t="n">
        <v>7.3</v>
      </c>
      <c r="T18" s="25" t="n">
        <v>8.5</v>
      </c>
      <c r="U18" s="26" t="inlineStr">
        <is>
          <t>PIZZA</t>
        </is>
      </c>
    </row>
    <row r="19" ht="20" customHeight="1">
      <c r="A19" s="28" t="inlineStr">
        <is>
          <t>TOPLAM / TOTAL</t>
        </is>
      </c>
      <c r="K19" s="29">
        <f>SUM(K6:K18)</f>
        <v/>
      </c>
      <c r="L19" s="29">
        <f>SUM(L6:L18)</f>
        <v/>
      </c>
      <c r="M19" s="30" t="n"/>
      <c r="N19" s="31">
        <f>SUM(N6:N18)</f>
        <v/>
      </c>
      <c r="O19" s="32">
        <f>SUM(O6:O18)</f>
        <v/>
      </c>
      <c r="P19" s="33">
        <f>SUM(P6:P18)</f>
        <v/>
      </c>
      <c r="Q19" s="34">
        <f>SUM(Q6:Q18)</f>
        <v/>
      </c>
    </row>
    <row r="20" ht="42" customHeight="1">
      <c r="A20" s="35" t="inlineStr">
        <is>
          <t>*** SIPARIS (KOLI) sutununa yalnizca ilgili urunun KOLI/SIRA degerinin KATLARI girilebilir (1 palet sirasi = 1 tam sira). Ornek: Diamond Fork icin 12,24,36,48... | PALET (esdeger) = yarim paletler dahil toplam palet hacmi. Gercek fiziksel palet sayisi icin 'PALET OZETI' sayfasina bakin.</t>
        </is>
      </c>
    </row>
  </sheetData>
  <mergeCells count="9">
    <mergeCell ref="E1:J1"/>
    <mergeCell ref="A1:D3"/>
    <mergeCell ref="E2:J2"/>
    <mergeCell ref="K1:R1"/>
    <mergeCell ref="A20:Q20"/>
    <mergeCell ref="L3:R3"/>
    <mergeCell ref="K2:R2"/>
    <mergeCell ref="E3:J3"/>
    <mergeCell ref="A19:J19"/>
  </mergeCells>
  <dataValidations count="2">
    <dataValidation sqref="K3" showDropDown="0" showInputMessage="0" showErrorMessage="0" allowBlank="0" type="list">
      <formula1>"1,2,3"</formula1>
    </dataValidation>
    <dataValidation sqref="K6:K18" showDropDown="0" showInputMessage="1" showErrorMessage="1" allowBlank="1" errorTitle="GECERSIZ ADET" error="Girdiginiz sayi KOLI/SIRA degerinin (E sutunu) tam kati degil!&#10;Lutfen tam sira olacak sekilde girin (or. 12'nin katlari: 12,24,36,48...)." promptTitle="SIPARIS ADEDI / ORDER (BOXES)" prompt="Bu urunu KOLI cinsinden girin. Deger, KOLI/SIRA sutununun (E) KATLARI olmalidir.&#10;Cunku her palet sirasi tek urunle DOLU olmali; boylece kalan yarim paletler duzgun birlestirilir.&#10;Ornek Diamond Fork (12/sira): 12, 24, 36, 48, 60 ...&#10;&#10;Enter the order in BOXES. Must be a MULTIPLE of BOXES/ROW (column E)." type="custom">
      <formula1>=AND(K6&gt;=0,MOD(K6,E6)=0)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2" customWidth="1" min="4" max="4"/>
    <col width="16" customWidth="1" min="5" max="5"/>
    <col width="15" customWidth="1" min="6" max="6"/>
    <col hidden="1" width="13" customWidth="1" min="8" max="8"/>
  </cols>
  <sheetData>
    <row r="1">
      <c r="A1" s="36" t="inlineStr">
        <is>
          <t>PALET OZETI / PALLET CONSOLIDATION SUMMARY</t>
        </is>
      </c>
    </row>
    <row r="2"/>
    <row r="3">
      <c r="A3" s="37" t="inlineStr">
        <is>
          <t>Yarim paletler ONCELIKLE ayni urun ailesi icinde birlestirilir (Diamond'lar Diamond'larla, Premium'lar Premium'larla, kasiklar kendi icinde...). Asagidaki 'GERCEK PALET' sutunu her aile icin yukari yuvarlanmis fiziksel palet sayisidir. / Half-pallets are combined within the same product family first.</t>
        </is>
      </c>
    </row>
    <row r="4"/>
    <row r="6" ht="30" customHeight="1">
      <c r="A6" s="7" t="inlineStr">
        <is>
          <t>AILE / FAMILY</t>
        </is>
      </c>
      <c r="B6" s="7" t="inlineStr">
        <is>
          <t>SIPARIS KOLI
(boxes)</t>
        </is>
      </c>
      <c r="C6" s="7" t="inlineStr">
        <is>
          <t>PALET ESDEGER
(pallet equiv.)</t>
        </is>
      </c>
      <c r="D6" s="7" t="inlineStr">
        <is>
          <t>TAM PALET
(full)</t>
        </is>
      </c>
      <c r="E6" s="7" t="inlineStr">
        <is>
          <t>GERCEK PALET
(actual, rounded up)</t>
        </is>
      </c>
      <c r="F6" s="7" t="inlineStr">
        <is>
          <t>NET AGIRLIK kg</t>
        </is>
      </c>
    </row>
    <row r="7">
      <c r="A7" s="12" t="inlineStr">
        <is>
          <t>DIAMOND CUTLERY</t>
        </is>
      </c>
      <c r="B7" s="38">
        <f>SUMIF('SIPARIS - ORDER'!$U$6:$U$18,$H7,'SIPARIS - ORDER'!$K$6:$K$18)</f>
        <v/>
      </c>
      <c r="C7" s="39">
        <f>SUMIF('SIPARIS - ORDER'!$U$6:$U$18,$H7,'SIPARIS - ORDER'!$N$6:$N$18)</f>
        <v/>
      </c>
      <c r="D7" s="40">
        <f>INT(C7)</f>
        <v/>
      </c>
      <c r="E7" s="41">
        <f>IF(C7=0,0,CEILING(C7,1))</f>
        <v/>
      </c>
      <c r="F7" s="42">
        <f>SUMIF('SIPARIS - ORDER'!$U$6:$U$18,$H7,'SIPARIS - ORDER'!$O$6:$O$18)</f>
        <v/>
      </c>
      <c r="H7" s="43" t="inlineStr">
        <is>
          <t>DIAMOND</t>
        </is>
      </c>
    </row>
    <row r="8">
      <c r="A8" s="12" t="inlineStr">
        <is>
          <t>PREMIUM CUTLERY</t>
        </is>
      </c>
      <c r="B8" s="38">
        <f>SUMIF('SIPARIS - ORDER'!$U$6:$U$18,$H8,'SIPARIS - ORDER'!$K$6:$K$18)</f>
        <v/>
      </c>
      <c r="C8" s="39">
        <f>SUMIF('SIPARIS - ORDER'!$U$6:$U$18,$H8,'SIPARIS - ORDER'!$N$6:$N$18)</f>
        <v/>
      </c>
      <c r="D8" s="40">
        <f>INT(C8)</f>
        <v/>
      </c>
      <c r="E8" s="41">
        <f>IF(C8=0,0,CEILING(C8,1))</f>
        <v/>
      </c>
      <c r="F8" s="42">
        <f>SUMIF('SIPARIS - ORDER'!$U$6:$U$18,$H8,'SIPARIS - ORDER'!$O$6:$O$18)</f>
        <v/>
      </c>
      <c r="H8" s="43" t="inlineStr">
        <is>
          <t>PREMIUM</t>
        </is>
      </c>
    </row>
    <row r="9">
      <c r="A9" s="12" t="inlineStr">
        <is>
          <t>SMART FORK</t>
        </is>
      </c>
      <c r="B9" s="38">
        <f>SUMIF('SIPARIS - ORDER'!$U$6:$U$18,$H9,'SIPARIS - ORDER'!$K$6:$K$18)</f>
        <v/>
      </c>
      <c r="C9" s="39">
        <f>SUMIF('SIPARIS - ORDER'!$U$6:$U$18,$H9,'SIPARIS - ORDER'!$N$6:$N$18)</f>
        <v/>
      </c>
      <c r="D9" s="40">
        <f>INT(C9)</f>
        <v/>
      </c>
      <c r="E9" s="41">
        <f>IF(C9=0,0,CEILING(C9,1))</f>
        <v/>
      </c>
      <c r="F9" s="42">
        <f>SUMIF('SIPARIS - ORDER'!$U$6:$U$18,$H9,'SIPARIS - ORDER'!$O$6:$O$18)</f>
        <v/>
      </c>
      <c r="H9" s="43" t="inlineStr">
        <is>
          <t>SMART</t>
        </is>
      </c>
    </row>
    <row r="10">
      <c r="A10" s="12" t="inlineStr">
        <is>
          <t>ICE CREAM SPOON</t>
        </is>
      </c>
      <c r="B10" s="38">
        <f>SUMIF('SIPARIS - ORDER'!$U$6:$U$18,$H10,'SIPARIS - ORDER'!$K$6:$K$18)</f>
        <v/>
      </c>
      <c r="C10" s="39">
        <f>SUMIF('SIPARIS - ORDER'!$U$6:$U$18,$H10,'SIPARIS - ORDER'!$N$6:$N$18)</f>
        <v/>
      </c>
      <c r="D10" s="40">
        <f>INT(C10)</f>
        <v/>
      </c>
      <c r="E10" s="41">
        <f>IF(C10=0,0,CEILING(C10,1))</f>
        <v/>
      </c>
      <c r="F10" s="42">
        <f>SUMIF('SIPARIS - ORDER'!$U$6:$U$18,$H10,'SIPARIS - ORDER'!$O$6:$O$18)</f>
        <v/>
      </c>
      <c r="H10" s="43" t="inlineStr">
        <is>
          <t>ICE CREAM</t>
        </is>
      </c>
    </row>
    <row r="11">
      <c r="A11" s="12" t="inlineStr">
        <is>
          <t>GLASSES / CUPS</t>
        </is>
      </c>
      <c r="B11" s="38">
        <f>SUMIF('SIPARIS - ORDER'!$U$6:$U$18,$H11,'SIPARIS - ORDER'!$K$6:$K$18)</f>
        <v/>
      </c>
      <c r="C11" s="39">
        <f>SUMIF('SIPARIS - ORDER'!$U$6:$U$18,$H11,'SIPARIS - ORDER'!$N$6:$N$18)</f>
        <v/>
      </c>
      <c r="D11" s="40">
        <f>INT(C11)</f>
        <v/>
      </c>
      <c r="E11" s="41">
        <f>IF(C11=0,0,CEILING(C11,1))</f>
        <v/>
      </c>
      <c r="F11" s="42">
        <f>SUMIF('SIPARIS - ORDER'!$U$6:$U$18,$H11,'SIPARIS - ORDER'!$O$6:$O$18)</f>
        <v/>
      </c>
      <c r="H11" s="43" t="inlineStr">
        <is>
          <t>GLASS</t>
        </is>
      </c>
    </row>
    <row r="12">
      <c r="A12" s="12" t="inlineStr">
        <is>
          <t>PIZZA TRIPOD</t>
        </is>
      </c>
      <c r="B12" s="38">
        <f>SUMIF('SIPARIS - ORDER'!$U$6:$U$18,$H12,'SIPARIS - ORDER'!$K$6:$K$18)</f>
        <v/>
      </c>
      <c r="C12" s="39">
        <f>SUMIF('SIPARIS - ORDER'!$U$6:$U$18,$H12,'SIPARIS - ORDER'!$N$6:$N$18)</f>
        <v/>
      </c>
      <c r="D12" s="40">
        <f>INT(C12)</f>
        <v/>
      </c>
      <c r="E12" s="41">
        <f>IF(C12=0,0,CEILING(C12,1))</f>
        <v/>
      </c>
      <c r="F12" s="42">
        <f>SUMIF('SIPARIS - ORDER'!$U$6:$U$18,$H12,'SIPARIS - ORDER'!$O$6:$O$18)</f>
        <v/>
      </c>
      <c r="H12" s="43" t="inlineStr">
        <is>
          <t>PIZZA</t>
        </is>
      </c>
    </row>
    <row r="13">
      <c r="A13" s="44" t="inlineStr">
        <is>
          <t>TOPLAM / GRAND TOTAL</t>
        </is>
      </c>
      <c r="B13" s="29">
        <f>SUM(B7:B12)</f>
        <v/>
      </c>
      <c r="C13" s="31">
        <f>SUM(C7:C12)</f>
        <v/>
      </c>
      <c r="D13" s="45">
        <f>SUM(D7:D12)</f>
        <v/>
      </c>
      <c r="E13" s="45">
        <f>SUM(E7:E12)</f>
        <v/>
      </c>
      <c r="F13" s="32">
        <f>SUM(F7:F12)</f>
        <v/>
      </c>
    </row>
    <row r="15">
      <c r="A15" s="46" t="inlineStr">
        <is>
          <t>NOT: 'GERCEK PALET', her ailenin toplam palet-esdegerinin yukari yuvarlanmasiyla bulunur (yarim paletler ayni aile icinde birlesir). Farkli aileler ancak koli yukseklikleri uyumluysa ayni palette birlestirilebilir - bu durumda toplam daha da dusebilir. Nihai istifleme fabrikada fiziksel olarak teyit edilmelidir. Her palet sirasi TEK urunle dolmalidir.</t>
        </is>
      </c>
    </row>
    <row r="16"/>
    <row r="17"/>
  </sheetData>
  <mergeCells count="3">
    <mergeCell ref="A15:F17"/>
    <mergeCell ref="A3:F4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 ht="24" customHeight="1">
      <c r="B1" s="47" t="inlineStr">
        <is>
          <t>NAVIPACK - SIPARIS &amp; HACIM HESAPLAMA TABLOSU / ORDER &amp; VOLUME CALCULATOR</t>
        </is>
      </c>
    </row>
    <row r="2">
      <c r="B2" s="48" t="inlineStr"/>
    </row>
    <row r="3">
      <c r="B3" s="49" t="inlineStr">
        <is>
          <t>NASIL KULLANILIR / HOW TO USE</t>
        </is>
      </c>
    </row>
    <row r="4">
      <c r="B4" s="48" t="inlineStr">
        <is>
          <t>1) 'SIPARIS - ORDER' sayfasinda SADECE sari 'SIPARIS (KOLI)' sutununa (K) veri girin.</t>
        </is>
      </c>
    </row>
    <row r="5">
      <c r="B5" s="48" t="inlineStr">
        <is>
          <t xml:space="preserve">   Diger tum sutunlar otomatik hesaplanir. Ust taraftan Musteri, Tarih ve Fiyat Kademesi secin.</t>
        </is>
      </c>
    </row>
    <row r="6">
      <c r="B6" s="48" t="inlineStr">
        <is>
          <t>2) Siparis KOLI (koli) cinsinden girilir. Her urun icin girilen deger, o urunun</t>
        </is>
      </c>
    </row>
    <row r="7">
      <c r="B7" s="48" t="inlineStr">
        <is>
          <t xml:space="preserve">   KOLI/SIRA degerinin KATI olmalidir (1 palet sirasi = 1 tam sira).</t>
        </is>
      </c>
    </row>
    <row r="8">
      <c r="B8" s="48" t="inlineStr">
        <is>
          <t xml:space="preserve">   Ornek: Diamond Fork 1 sirada 12 koli -&gt; yalnizca 12, 24, 36, 48, 60 ... girilebilir.</t>
        </is>
      </c>
    </row>
    <row r="9">
      <c r="B9" s="48" t="inlineStr">
        <is>
          <t xml:space="preserve">   (Yanlis kat girilirse Excel uyari verir.)</t>
        </is>
      </c>
    </row>
    <row r="10">
      <c r="B10" s="48" t="inlineStr"/>
    </row>
    <row r="11">
      <c r="B11" s="49" t="inlineStr">
        <is>
          <t>NEDEN KATLAR? / WHY MULTIPLES OF A ROW?</t>
        </is>
      </c>
    </row>
    <row r="12">
      <c r="B12" s="48" t="inlineStr">
        <is>
          <t>Musteri her zaman paletli (100x120 cm buyuk palet) yukleme yapar. Kalan yarim paletler,</t>
        </is>
      </c>
    </row>
    <row r="13">
      <c r="B13" s="48" t="inlineStr">
        <is>
          <t>diger yarim paletlerle birlestirilir. Bir palet sirasina FARKLI urunler dizilirse, koli</t>
        </is>
      </c>
    </row>
    <row r="14">
      <c r="B14" s="48" t="inlineStr">
        <is>
          <t>yukseklikleri farkli olacagindan palet dengesiz yukselir. Bu yuzden her sira TEK urunle</t>
        </is>
      </c>
    </row>
    <row r="15">
      <c r="B15" s="48" t="inlineStr">
        <is>
          <t>DOLU olmalidir; yani siparis daima tam sira (KOLI/SIRA'nin kati) olmalidir.</t>
        </is>
      </c>
    </row>
    <row r="16">
      <c r="B16" s="48" t="inlineStr"/>
    </row>
    <row r="17">
      <c r="B17" s="49" t="inlineStr">
        <is>
          <t>ADET -&gt; KOLI DONUSUMU / UNITS -&gt; BOXES</t>
        </is>
      </c>
    </row>
    <row r="18">
      <c r="B18" s="48" t="inlineStr">
        <is>
          <t>Siparisler cogu zaman ADET olarak konusulur. 1 kolideki adet 'ADET/KOLI' sutunundadir.</t>
        </is>
      </c>
    </row>
    <row r="19">
      <c r="B19" s="48" t="inlineStr">
        <is>
          <t>Ornek: 600.000 adet Diamond Fork / 2.000 adet-koli = 300 koli. 1 palet = 120 koli -&gt;</t>
        </is>
      </c>
    </row>
    <row r="20">
      <c r="B20" s="48" t="inlineStr">
        <is>
          <t>300 koli = 2 tam palet + yarim palet (60 koli). Tabloya KOLI olarak 300 girilir (12'nin kati).</t>
        </is>
      </c>
    </row>
    <row r="21">
      <c r="B21" s="48" t="inlineStr"/>
    </row>
    <row r="22">
      <c r="B22" s="49" t="inlineStr">
        <is>
          <t>YARIM PALETLERIN BIRLESTIRILMESI / HALF-PALLET CONSOLIDATION</t>
        </is>
      </c>
    </row>
    <row r="23">
      <c r="B23" s="48" t="inlineStr">
        <is>
          <t>Oncelik ayni urun ailesidir: Diamond'lar Diamond'larla (siyah+seffaf), Premium'lar</t>
        </is>
      </c>
    </row>
    <row r="24">
      <c r="B24" s="48" t="inlineStr">
        <is>
          <t>Premium'larla, kasiklar kasiklarla birlestirilir. 'PALET OZETI' sayfasi bu birlestirmeyi</t>
        </is>
      </c>
    </row>
    <row r="25">
      <c r="B25" s="48" t="inlineStr">
        <is>
          <t>aile bazinda yapar ve her aile icin GERCEK (yukari yuvarlanmis) palet sayisini gosterir.</t>
        </is>
      </c>
    </row>
    <row r="26">
      <c r="B26" s="48" t="inlineStr"/>
    </row>
    <row r="27">
      <c r="B27" s="49" t="inlineStr">
        <is>
          <t>HESAPLAMALAR / FORMULAS</t>
        </is>
      </c>
    </row>
    <row r="28">
      <c r="B28" s="48" t="inlineStr">
        <is>
          <t>SIPARIS (ADET)   = Siparis Koli x Adet/Koli</t>
        </is>
      </c>
    </row>
    <row r="29">
      <c r="B29" s="48" t="inlineStr">
        <is>
          <t>TAM SIRA         = Siparis Koli / (Koli/Sira)</t>
        </is>
      </c>
    </row>
    <row r="30">
      <c r="B30" s="48" t="inlineStr">
        <is>
          <t>PALET (esdeger)  = Siparis Koli / (Koli/Palet)   [yarim paletler dahil hacim]</t>
        </is>
      </c>
    </row>
    <row r="31">
      <c r="B31" s="48" t="inlineStr">
        <is>
          <t>NET AGIRLIK kg   = Siparis Koli x Koli Net kg     (Koli Net = Adet/Koli x urun agirligi gr /1000)</t>
        </is>
      </c>
    </row>
    <row r="32">
      <c r="B32" s="48" t="inlineStr">
        <is>
          <t>HACIM m3         = Siparis Koli x Koli Hacmi m3</t>
        </is>
      </c>
    </row>
    <row r="33">
      <c r="B33" s="48" t="inlineStr">
        <is>
          <t>TUTAR USD        = (Siparis Adet /1000) x Birim Fiyat (secili kademe)</t>
        </is>
      </c>
    </row>
    <row r="34">
      <c r="B34" s="48" t="inlineStr"/>
    </row>
    <row r="35">
      <c r="B35" s="49" t="inlineStr">
        <is>
          <t>RENK KODLARI / COLOUR LEGEND</t>
        </is>
      </c>
    </row>
    <row r="36">
      <c r="B36" s="48" t="inlineStr">
        <is>
          <t>Sari  = veri girisi (siz doldurun) | Yesil = otomatik sonuc | Gri = referans (fiyat/aile)</t>
        </is>
      </c>
    </row>
    <row r="37">
      <c r="B37" s="48" t="inlineStr">
        <is>
          <t>Turuncu (Koli/Sira, Sira/Palet) = palet dizilimi eldeki volume tablolarinda YOK, TAHMINdir - teyit edin.</t>
        </is>
      </c>
    </row>
    <row r="38">
      <c r="B38" s="48" t="inlineStr"/>
    </row>
    <row r="39">
      <c r="B39" s="49" t="inlineStr">
        <is>
          <t>KAYNAKLAR / SOURCES</t>
        </is>
      </c>
    </row>
    <row r="40">
      <c r="B40" s="48" t="inlineStr">
        <is>
          <t>Urun listesi &amp; fiyatlar: NAVIPACK Price Offer 10.06.2026.</t>
        </is>
      </c>
    </row>
    <row r="41">
      <c r="B41" s="48" t="inlineStr">
        <is>
          <t>Palet dizilimleri: NAVIPACK Volume Calculation tablolari (11.08.2025 &amp; 01.09.2025).</t>
        </is>
      </c>
    </row>
  </sheetData>
  <mergeCells count="1">
    <mergeCell ref="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2026-07-02T10:01:52Z</dcterms:created>
  <dcterms:modified xsi:type="dcterms:W3CDTF">2026-07-02T10:01:52Z</dcterms:modified>
</cp:coreProperties>
</file>