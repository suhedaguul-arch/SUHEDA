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S - ORDER" sheetId="1" state="visible" r:id="rId1"/>
    <sheet name="ACIKLAMA -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00"/>
    <numFmt numFmtId="166" formatCode="#,##0.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9"/>
    </font>
    <font>
      <b val="1"/>
    </font>
    <font>
      <b val="1"/>
      <color rgb="00FFFFFF"/>
      <sz val="10"/>
    </font>
    <font>
      <sz val="8"/>
    </font>
    <font>
      <b val="1"/>
      <color rgb="00FFFFFF"/>
      <sz val="11"/>
    </font>
    <font>
      <b val="1"/>
      <color rgb="004A1C1C"/>
      <sz val="9"/>
    </font>
    <font>
      <b val="1"/>
      <color rgb="00C00000"/>
      <sz val="12"/>
    </font>
    <font>
      <i val="1"/>
      <color rgb="00C00000"/>
      <sz val="9"/>
    </font>
    <font>
      <b val="1"/>
      <color rgb="00FFFFFF"/>
      <sz val="13"/>
    </font>
    <font>
      <sz val="10"/>
    </font>
    <font>
      <b val="1"/>
      <color rgb="004A1C1C"/>
      <sz val="11"/>
    </font>
  </fonts>
  <fills count="11">
    <fill>
      <patternFill/>
    </fill>
    <fill>
      <patternFill patternType="gray125"/>
    </fill>
    <fill>
      <patternFill patternType="solid">
        <fgColor rgb="004A1C1C"/>
      </patternFill>
    </fill>
    <fill>
      <patternFill patternType="solid">
        <fgColor rgb="00FFF2CC"/>
      </patternFill>
    </fill>
    <fill>
      <patternFill patternType="solid">
        <fgColor rgb="00843C3C"/>
      </patternFill>
    </fill>
    <fill>
      <patternFill patternType="solid">
        <fgColor rgb="00BF8F00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AF6F6"/>
      </patternFill>
    </fill>
    <fill>
      <patternFill patternType="solid">
        <fgColor rgb="00F2DCD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165" fontId="8" fillId="10" borderId="1" applyAlignment="1" pivotButton="0" quotePrefix="0" xfId="0">
      <alignment horizontal="center" vertical="center"/>
    </xf>
    <xf numFmtId="167" fontId="8" fillId="10" borderId="1" applyAlignment="1" pivotButton="0" quotePrefix="0" xfId="0">
      <alignment horizontal="center" vertical="center"/>
    </xf>
    <xf numFmtId="1" fontId="8" fillId="10" borderId="1" applyAlignment="1" pivotButton="0" quotePrefix="0" xfId="0">
      <alignment horizontal="center" vertical="center"/>
    </xf>
    <xf numFmtId="4" fontId="8" fillId="1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0" borderId="2" pivotButton="0" quotePrefix="0" xfId="0"/>
    <xf numFmtId="0" fontId="5" fillId="0" borderId="2" applyAlignment="1" pivotButton="0" quotePrefix="0" xfId="0">
      <alignment vertical="center" wrapText="1"/>
    </xf>
    <xf numFmtId="3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4" fontId="0" fillId="0" borderId="2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  <xf numFmtId="3" fontId="0" fillId="7" borderId="2" pivotButton="0" quotePrefix="0" xfId="0"/>
    <xf numFmtId="166" fontId="0" fillId="7" borderId="2" pivotButton="0" quotePrefix="0" xfId="0"/>
    <xf numFmtId="165" fontId="0" fillId="7" borderId="2" pivotButton="0" quotePrefix="0" xfId="0"/>
    <xf numFmtId="4" fontId="0" fillId="7" borderId="2" pivotButton="0" quotePrefix="0" xfId="0"/>
    <xf numFmtId="0" fontId="0" fillId="8" borderId="2" applyAlignment="1" pivotButton="0" quotePrefix="0" xfId="0">
      <alignment horizontal="center"/>
    </xf>
    <xf numFmtId="0" fontId="2" fillId="8" borderId="2" pivotButton="0" quotePrefix="0" xfId="0"/>
    <xf numFmtId="0" fontId="5" fillId="8" borderId="2" applyAlignment="1" pivotButton="0" quotePrefix="0" xfId="0">
      <alignment vertical="center" wrapText="1"/>
    </xf>
    <xf numFmtId="3" fontId="0" fillId="8" borderId="2" applyAlignment="1" pivotButton="0" quotePrefix="0" xfId="0">
      <alignment horizontal="center"/>
    </xf>
    <xf numFmtId="165" fontId="0" fillId="8" borderId="2" applyAlignment="1" pivotButton="0" quotePrefix="0" xfId="0">
      <alignment horizontal="center"/>
    </xf>
    <xf numFmtId="166" fontId="0" fillId="8" borderId="2" applyAlignment="1" pivotButton="0" quotePrefix="0" xfId="0">
      <alignment horizontal="center"/>
    </xf>
    <xf numFmtId="4" fontId="0" fillId="8" borderId="2" applyAlignment="1" pivotButton="0" quotePrefix="0" xfId="0">
      <alignment horizontal="center"/>
    </xf>
    <xf numFmtId="0" fontId="6" fillId="2" borderId="0" applyAlignment="1" pivotButton="0" quotePrefix="0" xfId="0">
      <alignment horizontal="right" vertical="center"/>
    </xf>
    <xf numFmtId="3" fontId="3" fillId="9" borderId="1" pivotButton="0" quotePrefix="0" xfId="0"/>
    <xf numFmtId="166" fontId="3" fillId="9" borderId="1" pivotButton="0" quotePrefix="0" xfId="0"/>
    <xf numFmtId="165" fontId="3" fillId="9" borderId="1" pivotButton="0" quotePrefix="0" xfId="0"/>
    <xf numFmtId="4" fontId="3" fillId="9" borderId="1" pivotButton="0" quotePrefix="0" xfId="0"/>
    <xf numFmtId="0" fontId="9" fillId="0" borderId="0" applyAlignment="1" pivotButton="0" quotePrefix="0" xfId="0">
      <alignment vertical="center" wrapText="1"/>
    </xf>
    <xf numFmtId="0" fontId="10" fillId="2" borderId="0" applyAlignment="1" pivotButton="0" quotePrefix="0" xfId="0">
      <alignment vertical="center"/>
    </xf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SMARTPACK</author>
  </authors>
  <commentList>
    <comment ref="F3" authorId="0" shapeId="0">
      <text>
        <t>FERPROM cift dorse (double trailer) = 120 m3
Standart TIR = 90 m3
Dokme yukleme: dolum HACME gore.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10" customWidth="1" min="4" max="4"/>
    <col width="9" customWidth="1" min="5" max="5"/>
    <col width="8" customWidth="1" min="6" max="6"/>
    <col width="10" customWidth="1" min="7" max="7"/>
    <col width="12" customWidth="1" min="8" max="8"/>
    <col width="12" customWidth="1" min="9" max="9"/>
    <col width="11" customWidth="1" min="10" max="10"/>
    <col width="9" customWidth="1" min="11" max="11"/>
    <col width="12" customWidth="1" min="12" max="12"/>
  </cols>
  <sheetData>
    <row r="1" ht="22" customHeight="1">
      <c r="A1" s="1" t="inlineStr">
        <is>
          <t>FERPROM D.O.O.
SIPARIS &amp; HACIM HESAPLAMA (DOKME)
BULK ORDER &amp; VOLUME CALCULATOR</t>
        </is>
      </c>
      <c r="E1" s="2" t="inlineStr">
        <is>
          <t>MUSTERI / CUSTOMER:</t>
        </is>
      </c>
      <c r="F1" s="3" t="inlineStr">
        <is>
          <t>FERPROM D.O.O.</t>
        </is>
      </c>
      <c r="I1" s="4" t="inlineStr">
        <is>
          <t>TOPLAM
HACIM m3</t>
        </is>
      </c>
      <c r="K1" s="4" t="inlineStr">
        <is>
          <t>TIR
DOLULUK %</t>
        </is>
      </c>
    </row>
    <row r="2" ht="22" customHeight="1">
      <c r="E2" s="2" t="inlineStr">
        <is>
          <t>TARIH / DATE:</t>
        </is>
      </c>
      <c r="F2" s="5">
        <f>TODAY()</f>
        <v/>
      </c>
      <c r="I2" s="6">
        <f>K56</f>
        <v/>
      </c>
      <c r="K2" s="7">
        <f>IF($F$3=0,0,K56/$F$3)</f>
        <v/>
      </c>
    </row>
    <row r="3" ht="22" customHeight="1">
      <c r="E3" s="2" t="inlineStr">
        <is>
          <t>TIR KAPASITESI (m3):</t>
        </is>
      </c>
      <c r="F3" s="3" t="n">
        <v>120</v>
      </c>
      <c r="I3" s="4" t="inlineStr">
        <is>
          <t>GEREKEN
TIR ADEDI</t>
        </is>
      </c>
      <c r="K3" s="4" t="inlineStr">
        <is>
          <t>TOPLAM
TUTAR USD</t>
        </is>
      </c>
    </row>
    <row r="4" ht="22" customHeight="1">
      <c r="I4" s="8">
        <f>IF($F$3=0,0,CEILING(K56/$F$3,1))</f>
        <v/>
      </c>
      <c r="K4" s="9">
        <f>L56</f>
        <v/>
      </c>
    </row>
    <row r="6" ht="30" customHeight="1">
      <c r="A6" s="10" t="inlineStr">
        <is>
          <t>NO</t>
        </is>
      </c>
      <c r="B6" s="10" t="inlineStr">
        <is>
          <t>URUN / PRODUCT</t>
        </is>
      </c>
      <c r="C6" s="10" t="inlineStr">
        <is>
          <t>RENK / COLOUR</t>
        </is>
      </c>
      <c r="D6" s="10" t="inlineStr">
        <is>
          <t>ADET/KOLI
(pcs/box)</t>
        </is>
      </c>
      <c r="E6" s="10" t="inlineStr">
        <is>
          <t>KOLI HACMI
m3</t>
        </is>
      </c>
      <c r="F6" s="10" t="inlineStr">
        <is>
          <t>KOLI NET
kg</t>
        </is>
      </c>
      <c r="G6" s="10" t="inlineStr">
        <is>
          <t>FIYAT/1000
USD</t>
        </is>
      </c>
      <c r="H6" s="11" t="inlineStr">
        <is>
          <t>SIPARIS
(KOLI) ***</t>
        </is>
      </c>
      <c r="I6" s="12" t="inlineStr">
        <is>
          <t>SIPARIS
(ADET)</t>
        </is>
      </c>
      <c r="J6" s="12" t="inlineStr">
        <is>
          <t>NET AGIRLIK
kg</t>
        </is>
      </c>
      <c r="K6" s="12" t="inlineStr">
        <is>
          <t>HACIM
m3</t>
        </is>
      </c>
      <c r="L6" s="12" t="inlineStr">
        <is>
          <t>TUTAR
USD</t>
        </is>
      </c>
    </row>
    <row r="7">
      <c r="A7" s="13" t="n">
        <v>1</v>
      </c>
      <c r="B7" s="14" t="inlineStr">
        <is>
          <t>ECO DESSERT SPOON</t>
        </is>
      </c>
      <c r="C7" s="15" t="inlineStr">
        <is>
          <t>WHITE</t>
        </is>
      </c>
      <c r="D7" s="16" t="n">
        <v>10000</v>
      </c>
      <c r="E7" s="17" t="n">
        <v>0.044</v>
      </c>
      <c r="F7" s="18">
        <f>D7*1.2/1000</f>
        <v/>
      </c>
      <c r="G7" s="19" t="n">
        <v>3.6</v>
      </c>
      <c r="H7" s="20" t="n">
        <v>0</v>
      </c>
      <c r="I7" s="21">
        <f>H7*D7</f>
        <v/>
      </c>
      <c r="J7" s="22">
        <f>H7*F7</f>
        <v/>
      </c>
      <c r="K7" s="23">
        <f>H7*E7</f>
        <v/>
      </c>
      <c r="L7" s="24">
        <f>I7/1000*G7</f>
        <v/>
      </c>
    </row>
    <row r="8">
      <c r="A8" s="25" t="n">
        <v>2</v>
      </c>
      <c r="B8" s="26" t="inlineStr">
        <is>
          <t>ECO FORK</t>
        </is>
      </c>
      <c r="C8" s="27" t="inlineStr">
        <is>
          <t>WHITE</t>
        </is>
      </c>
      <c r="D8" s="28" t="n">
        <v>7000</v>
      </c>
      <c r="E8" s="29" t="n">
        <v>0.043</v>
      </c>
      <c r="F8" s="30">
        <f>D8*1.5/1000</f>
        <v/>
      </c>
      <c r="G8" s="31" t="n">
        <v>4</v>
      </c>
      <c r="H8" s="20" t="n">
        <v>0</v>
      </c>
      <c r="I8" s="21">
        <f>H8*D8</f>
        <v/>
      </c>
      <c r="J8" s="22">
        <f>H8*F8</f>
        <v/>
      </c>
      <c r="K8" s="23">
        <f>H8*E8</f>
        <v/>
      </c>
      <c r="L8" s="24">
        <f>I8/1000*G8</f>
        <v/>
      </c>
    </row>
    <row r="9">
      <c r="A9" s="13" t="n">
        <v>3</v>
      </c>
      <c r="B9" s="14" t="inlineStr">
        <is>
          <t>ECO SPOON</t>
        </is>
      </c>
      <c r="C9" s="15" t="inlineStr">
        <is>
          <t>WHITE</t>
        </is>
      </c>
      <c r="D9" s="16" t="n">
        <v>7000</v>
      </c>
      <c r="E9" s="17" t="n">
        <v>0.055</v>
      </c>
      <c r="F9" s="18">
        <f>D9*1.85/1000</f>
        <v/>
      </c>
      <c r="G9" s="19" t="n">
        <v>5.25</v>
      </c>
      <c r="H9" s="20" t="n">
        <v>0</v>
      </c>
      <c r="I9" s="21">
        <f>H9*D9</f>
        <v/>
      </c>
      <c r="J9" s="22">
        <f>H9*F9</f>
        <v/>
      </c>
      <c r="K9" s="23">
        <f>H9*E9</f>
        <v/>
      </c>
      <c r="L9" s="24">
        <f>I9/1000*G9</f>
        <v/>
      </c>
    </row>
    <row r="10">
      <c r="A10" s="25" t="n">
        <v>4</v>
      </c>
      <c r="B10" s="26" t="inlineStr">
        <is>
          <t>ECO KNIFE</t>
        </is>
      </c>
      <c r="C10" s="27" t="inlineStr">
        <is>
          <t>WHITE</t>
        </is>
      </c>
      <c r="D10" s="28" t="n">
        <v>7000</v>
      </c>
      <c r="E10" s="29" t="n">
        <v>0.043</v>
      </c>
      <c r="F10" s="30">
        <f>D10*1.6/1000</f>
        <v/>
      </c>
      <c r="G10" s="31" t="n">
        <v>5</v>
      </c>
      <c r="H10" s="20" t="n">
        <v>0</v>
      </c>
      <c r="I10" s="21">
        <f>H10*D10</f>
        <v/>
      </c>
      <c r="J10" s="22">
        <f>H10*F10</f>
        <v/>
      </c>
      <c r="K10" s="23">
        <f>H10*E10</f>
        <v/>
      </c>
      <c r="L10" s="24">
        <f>I10/1000*G10</f>
        <v/>
      </c>
    </row>
    <row r="11">
      <c r="A11" s="13" t="n">
        <v>5</v>
      </c>
      <c r="B11" s="14" t="inlineStr">
        <is>
          <t>EURO FORK</t>
        </is>
      </c>
      <c r="C11" s="15" t="inlineStr">
        <is>
          <t>TRANSPARENT</t>
        </is>
      </c>
      <c r="D11" s="16" t="n">
        <v>2000</v>
      </c>
      <c r="E11" s="17" t="n">
        <v>0.029</v>
      </c>
      <c r="F11" s="18">
        <f>D11*3.25/1000</f>
        <v/>
      </c>
      <c r="G11" s="19" t="n">
        <v>7.3</v>
      </c>
      <c r="H11" s="20" t="n">
        <v>0</v>
      </c>
      <c r="I11" s="21">
        <f>H11*D11</f>
        <v/>
      </c>
      <c r="J11" s="22">
        <f>H11*F11</f>
        <v/>
      </c>
      <c r="K11" s="23">
        <f>H11*E11</f>
        <v/>
      </c>
      <c r="L11" s="24">
        <f>I11/1000*G11</f>
        <v/>
      </c>
    </row>
    <row r="12">
      <c r="A12" s="25" t="n">
        <v>6</v>
      </c>
      <c r="B12" s="26" t="inlineStr">
        <is>
          <t>DIAMOND SPOON</t>
        </is>
      </c>
      <c r="C12" s="27" t="inlineStr">
        <is>
          <t>TRANSPARENT</t>
        </is>
      </c>
      <c r="D12" s="28" t="n">
        <v>2000</v>
      </c>
      <c r="E12" s="29" t="n">
        <v>0.032</v>
      </c>
      <c r="F12" s="30">
        <f>D12*3.8/1000</f>
        <v/>
      </c>
      <c r="G12" s="31" t="n">
        <v>8.5</v>
      </c>
      <c r="H12" s="20" t="n">
        <v>0</v>
      </c>
      <c r="I12" s="21">
        <f>H12*D12</f>
        <v/>
      </c>
      <c r="J12" s="22">
        <f>H12*F12</f>
        <v/>
      </c>
      <c r="K12" s="23">
        <f>H12*E12</f>
        <v/>
      </c>
      <c r="L12" s="24">
        <f>I12/1000*G12</f>
        <v/>
      </c>
    </row>
    <row r="13">
      <c r="A13" s="13" t="n">
        <v>7</v>
      </c>
      <c r="B13" s="14" t="inlineStr">
        <is>
          <t>PREMIUM KNIFE</t>
        </is>
      </c>
      <c r="C13" s="15" t="inlineStr">
        <is>
          <t>TRANSPARENT</t>
        </is>
      </c>
      <c r="D13" s="16" t="n">
        <v>4000</v>
      </c>
      <c r="E13" s="17" t="n">
        <v>0.039</v>
      </c>
      <c r="F13" s="18">
        <f>D13*2.8/1000</f>
        <v/>
      </c>
      <c r="G13" s="19" t="n">
        <v>6.75</v>
      </c>
      <c r="H13" s="20" t="n">
        <v>0</v>
      </c>
      <c r="I13" s="21">
        <f>H13*D13</f>
        <v/>
      </c>
      <c r="J13" s="22">
        <f>H13*F13</f>
        <v/>
      </c>
      <c r="K13" s="23">
        <f>H13*E13</f>
        <v/>
      </c>
      <c r="L13" s="24">
        <f>I13/1000*G13</f>
        <v/>
      </c>
    </row>
    <row r="14">
      <c r="A14" s="25" t="n">
        <v>8</v>
      </c>
      <c r="B14" s="26" t="inlineStr">
        <is>
          <t>ECO FORK (10 pcs/pack)</t>
        </is>
      </c>
      <c r="C14" s="27" t="inlineStr">
        <is>
          <t>WHITE</t>
        </is>
      </c>
      <c r="D14" s="28" t="n">
        <v>1000</v>
      </c>
      <c r="E14" s="29" t="n">
        <v>0.013</v>
      </c>
      <c r="F14" s="30">
        <f>D14*1.5/1000</f>
        <v/>
      </c>
      <c r="G14" s="31" t="n">
        <v>5.6</v>
      </c>
      <c r="H14" s="20" t="n">
        <v>0</v>
      </c>
      <c r="I14" s="21">
        <f>H14*D14</f>
        <v/>
      </c>
      <c r="J14" s="22">
        <f>H14*F14</f>
        <v/>
      </c>
      <c r="K14" s="23">
        <f>H14*E14</f>
        <v/>
      </c>
      <c r="L14" s="24">
        <f>I14/1000*G14</f>
        <v/>
      </c>
    </row>
    <row r="15">
      <c r="A15" s="13" t="n">
        <v>9</v>
      </c>
      <c r="B15" s="14" t="inlineStr">
        <is>
          <t>ECO SPOON (10 pcs/pack)</t>
        </is>
      </c>
      <c r="C15" s="15" t="inlineStr">
        <is>
          <t>WHITE</t>
        </is>
      </c>
      <c r="D15" s="16" t="n">
        <v>1500</v>
      </c>
      <c r="E15" s="17" t="n">
        <v>0.021</v>
      </c>
      <c r="F15" s="18">
        <f>D15*1.85/1000</f>
        <v/>
      </c>
      <c r="G15" s="19" t="n">
        <v>7.35</v>
      </c>
      <c r="H15" s="20" t="n">
        <v>0</v>
      </c>
      <c r="I15" s="21">
        <f>H15*D15</f>
        <v/>
      </c>
      <c r="J15" s="22">
        <f>H15*F15</f>
        <v/>
      </c>
      <c r="K15" s="23">
        <f>H15*E15</f>
        <v/>
      </c>
      <c r="L15" s="24">
        <f>I15/1000*G15</f>
        <v/>
      </c>
    </row>
    <row r="16">
      <c r="A16" s="25" t="n">
        <v>10</v>
      </c>
      <c r="B16" s="26" t="inlineStr">
        <is>
          <t>ECO KNIFE (10 pcs/pack)</t>
        </is>
      </c>
      <c r="C16" s="27" t="inlineStr">
        <is>
          <t>WHITE</t>
        </is>
      </c>
      <c r="D16" s="28" t="n">
        <v>1500</v>
      </c>
      <c r="E16" s="29" t="n">
        <v>0.012</v>
      </c>
      <c r="F16" s="30">
        <f>D16*1.6/1000</f>
        <v/>
      </c>
      <c r="G16" s="31" t="n">
        <v>7</v>
      </c>
      <c r="H16" s="20" t="n">
        <v>0</v>
      </c>
      <c r="I16" s="21">
        <f>H16*D16</f>
        <v/>
      </c>
      <c r="J16" s="22">
        <f>H16*F16</f>
        <v/>
      </c>
      <c r="K16" s="23">
        <f>H16*E16</f>
        <v/>
      </c>
      <c r="L16" s="24">
        <f>I16/1000*G16</f>
        <v/>
      </c>
    </row>
    <row r="17">
      <c r="A17" s="13" t="n">
        <v>11</v>
      </c>
      <c r="B17" s="14" t="inlineStr">
        <is>
          <t>EURO FORK (25 pcs/pack)</t>
        </is>
      </c>
      <c r="C17" s="15" t="inlineStr">
        <is>
          <t>TRANSPARENT</t>
        </is>
      </c>
      <c r="D17" s="16" t="n">
        <v>2000</v>
      </c>
      <c r="E17" s="17" t="n">
        <v>0.029</v>
      </c>
      <c r="F17" s="18">
        <f>D17*3.25/1000</f>
        <v/>
      </c>
      <c r="G17" s="19" t="n">
        <v>8</v>
      </c>
      <c r="H17" s="20" t="n">
        <v>0</v>
      </c>
      <c r="I17" s="21">
        <f>H17*D17</f>
        <v/>
      </c>
      <c r="J17" s="22">
        <f>H17*F17</f>
        <v/>
      </c>
      <c r="K17" s="23">
        <f>H17*E17</f>
        <v/>
      </c>
      <c r="L17" s="24">
        <f>I17/1000*G17</f>
        <v/>
      </c>
    </row>
    <row r="18">
      <c r="A18" s="25" t="n">
        <v>12</v>
      </c>
      <c r="B18" s="26" t="inlineStr">
        <is>
          <t>DIAMOND SPOON (25 pcs/pack)</t>
        </is>
      </c>
      <c r="C18" s="27" t="inlineStr">
        <is>
          <t>TRANSPARENT</t>
        </is>
      </c>
      <c r="D18" s="28" t="n">
        <v>2000</v>
      </c>
      <c r="E18" s="29" t="n">
        <v>0.032</v>
      </c>
      <c r="F18" s="30">
        <f>D18*3.8/1000</f>
        <v/>
      </c>
      <c r="G18" s="31" t="n">
        <v>9.5</v>
      </c>
      <c r="H18" s="20" t="n">
        <v>0</v>
      </c>
      <c r="I18" s="21">
        <f>H18*D18</f>
        <v/>
      </c>
      <c r="J18" s="22">
        <f>H18*F18</f>
        <v/>
      </c>
      <c r="K18" s="23">
        <f>H18*E18</f>
        <v/>
      </c>
      <c r="L18" s="24">
        <f>I18/1000*G18</f>
        <v/>
      </c>
    </row>
    <row r="19">
      <c r="A19" s="13" t="n">
        <v>13</v>
      </c>
      <c r="B19" s="14" t="inlineStr">
        <is>
          <t>PREMIUM KNIFE (25 pcs/pack)</t>
        </is>
      </c>
      <c r="C19" s="15" t="inlineStr">
        <is>
          <t>TRANSPARENT</t>
        </is>
      </c>
      <c r="D19" s="16" t="n">
        <v>2000</v>
      </c>
      <c r="E19" s="17" t="n">
        <v>0.022</v>
      </c>
      <c r="F19" s="18">
        <f>D19*2.8/1000</f>
        <v/>
      </c>
      <c r="G19" s="19" t="n">
        <v>7.5</v>
      </c>
      <c r="H19" s="20" t="n">
        <v>0</v>
      </c>
      <c r="I19" s="21">
        <f>H19*D19</f>
        <v/>
      </c>
      <c r="J19" s="22">
        <f>H19*F19</f>
        <v/>
      </c>
      <c r="K19" s="23">
        <f>H19*E19</f>
        <v/>
      </c>
      <c r="L19" s="24">
        <f>I19/1000*G19</f>
        <v/>
      </c>
    </row>
    <row r="20">
      <c r="A20" s="25" t="n">
        <v>14</v>
      </c>
      <c r="B20" s="26" t="inlineStr">
        <is>
          <t>CUTLERY SET 4 in 1 2,80 gr Fork + 2,80 gr Knife + Napkin</t>
        </is>
      </c>
      <c r="C20" s="27" t="inlineStr">
        <is>
          <t>TRANSPARENT</t>
        </is>
      </c>
      <c r="D20" s="28" t="n">
        <v>1000</v>
      </c>
      <c r="E20" s="29" t="n">
        <v>0.096</v>
      </c>
      <c r="F20" s="30">
        <f>D20*6.5/1000</f>
        <v/>
      </c>
      <c r="G20" s="31" t="n">
        <v>32</v>
      </c>
      <c r="H20" s="20" t="n">
        <v>0</v>
      </c>
      <c r="I20" s="21">
        <f>H20*D20</f>
        <v/>
      </c>
      <c r="J20" s="22">
        <f>H20*F20</f>
        <v/>
      </c>
      <c r="K20" s="23">
        <f>H20*E20</f>
        <v/>
      </c>
      <c r="L20" s="24">
        <f>I20/1000*G20</f>
        <v/>
      </c>
    </row>
    <row r="21">
      <c r="A21" s="13" t="n">
        <v>15</v>
      </c>
      <c r="B21" s="14" t="inlineStr">
        <is>
          <t>CUTLERY SET 3 in 1 2,80 gr Fork + 2,80 gr Knife + Napkin</t>
        </is>
      </c>
      <c r="C21" s="15" t="inlineStr">
        <is>
          <t>TRANSPARENT</t>
        </is>
      </c>
      <c r="D21" s="16" t="n">
        <v>1000</v>
      </c>
      <c r="E21" s="17" t="n">
        <v>0.07199999999999999</v>
      </c>
      <c r="F21" s="18">
        <f>D21*6.5/1000</f>
        <v/>
      </c>
      <c r="G21" s="19" t="n">
        <v>25</v>
      </c>
      <c r="H21" s="20" t="n">
        <v>0</v>
      </c>
      <c r="I21" s="21">
        <f>H21*D21</f>
        <v/>
      </c>
      <c r="J21" s="22">
        <f>H21*F21</f>
        <v/>
      </c>
      <c r="K21" s="23">
        <f>H21*E21</f>
        <v/>
      </c>
      <c r="L21" s="24">
        <f>I21/1000*G21</f>
        <v/>
      </c>
    </row>
    <row r="22">
      <c r="A22" s="25" t="n">
        <v>16</v>
      </c>
      <c r="B22" s="26" t="inlineStr">
        <is>
          <t>CUTLERY SET 3 in 1 2,80 gr Fork + 2,80 gr Spoon + Napkin</t>
        </is>
      </c>
      <c r="C22" s="27" t="inlineStr">
        <is>
          <t>TRANSPARENT</t>
        </is>
      </c>
      <c r="D22" s="28" t="n">
        <v>1000</v>
      </c>
      <c r="E22" s="29" t="n">
        <v>0.096</v>
      </c>
      <c r="F22" s="30">
        <f>D22*6.5/1000</f>
        <v/>
      </c>
      <c r="G22" s="31" t="n">
        <v>25</v>
      </c>
      <c r="H22" s="20" t="n">
        <v>0</v>
      </c>
      <c r="I22" s="21">
        <f>H22*D22</f>
        <v/>
      </c>
      <c r="J22" s="22">
        <f>H22*F22</f>
        <v/>
      </c>
      <c r="K22" s="23">
        <f>H22*E22</f>
        <v/>
      </c>
      <c r="L22" s="24">
        <f>I22/1000*G22</f>
        <v/>
      </c>
    </row>
    <row r="23">
      <c r="A23" s="13" t="n">
        <v>17</v>
      </c>
      <c r="B23" s="14" t="inlineStr">
        <is>
          <t>CUTLERY SET 1 by 1 2,80 gr Fork</t>
        </is>
      </c>
      <c r="C23" s="15" t="inlineStr">
        <is>
          <t>TRANSPARENT</t>
        </is>
      </c>
      <c r="D23" s="16" t="n">
        <v>1000</v>
      </c>
      <c r="E23" s="17" t="n">
        <v>0.036</v>
      </c>
      <c r="F23" s="18">
        <f>D23*3.8/1000</f>
        <v/>
      </c>
      <c r="G23" s="19" t="n">
        <v>14</v>
      </c>
      <c r="H23" s="20" t="n">
        <v>0</v>
      </c>
      <c r="I23" s="21">
        <f>H23*D23</f>
        <v/>
      </c>
      <c r="J23" s="22">
        <f>H23*F23</f>
        <v/>
      </c>
      <c r="K23" s="23">
        <f>H23*E23</f>
        <v/>
      </c>
      <c r="L23" s="24">
        <f>I23/1000*G23</f>
        <v/>
      </c>
    </row>
    <row r="24">
      <c r="A24" s="25" t="n">
        <v>18</v>
      </c>
      <c r="B24" s="26" t="inlineStr">
        <is>
          <t>CUTLERY SET 1 by 1 2,80 gr Spoon</t>
        </is>
      </c>
      <c r="C24" s="27" t="inlineStr">
        <is>
          <t>TRANSPARENT</t>
        </is>
      </c>
      <c r="D24" s="28" t="n">
        <v>1000</v>
      </c>
      <c r="E24" s="29" t="n">
        <v>0.064</v>
      </c>
      <c r="F24" s="30">
        <f>D24*3.8/1000</f>
        <v/>
      </c>
      <c r="G24" s="31" t="n">
        <v>14</v>
      </c>
      <c r="H24" s="20" t="n">
        <v>0</v>
      </c>
      <c r="I24" s="21">
        <f>H24*D24</f>
        <v/>
      </c>
      <c r="J24" s="22">
        <f>H24*F24</f>
        <v/>
      </c>
      <c r="K24" s="23">
        <f>H24*E24</f>
        <v/>
      </c>
      <c r="L24" s="24">
        <f>I24/1000*G24</f>
        <v/>
      </c>
    </row>
    <row r="25">
      <c r="A25" s="13" t="n">
        <v>19</v>
      </c>
      <c r="B25" s="14" t="inlineStr">
        <is>
          <t>WAVY ICE CREAM SPOON</t>
        </is>
      </c>
      <c r="C25" s="15" t="inlineStr">
        <is>
          <t>BLACK</t>
        </is>
      </c>
      <c r="D25" s="16" t="n">
        <v>2000</v>
      </c>
      <c r="E25" s="17" t="n">
        <v>0.025</v>
      </c>
      <c r="F25" s="18">
        <f>D25*2.4/1000</f>
        <v/>
      </c>
      <c r="G25" s="19" t="n">
        <v>6.5</v>
      </c>
      <c r="H25" s="20" t="n">
        <v>0</v>
      </c>
      <c r="I25" s="21">
        <f>H25*D25</f>
        <v/>
      </c>
      <c r="J25" s="22">
        <f>H25*F25</f>
        <v/>
      </c>
      <c r="K25" s="23">
        <f>H25*E25</f>
        <v/>
      </c>
      <c r="L25" s="24">
        <f>I25/1000*G25</f>
        <v/>
      </c>
    </row>
    <row r="26">
      <c r="A26" s="25" t="n">
        <v>20</v>
      </c>
      <c r="B26" s="26" t="inlineStr">
        <is>
          <t>WAVY ICE CREAM SPOON</t>
        </is>
      </c>
      <c r="C26" s="27" t="inlineStr">
        <is>
          <t>WHITE</t>
        </is>
      </c>
      <c r="D26" s="28" t="n">
        <v>2000</v>
      </c>
      <c r="E26" s="29" t="n">
        <v>0.025</v>
      </c>
      <c r="F26" s="30">
        <f>D26*2.4/1000</f>
        <v/>
      </c>
      <c r="G26" s="31" t="n">
        <v>6.5</v>
      </c>
      <c r="H26" s="20" t="n">
        <v>0</v>
      </c>
      <c r="I26" s="21">
        <f>H26*D26</f>
        <v/>
      </c>
      <c r="J26" s="22">
        <f>H26*F26</f>
        <v/>
      </c>
      <c r="K26" s="23">
        <f>H26*E26</f>
        <v/>
      </c>
      <c r="L26" s="24">
        <f>I26/1000*G26</f>
        <v/>
      </c>
    </row>
    <row r="27">
      <c r="A27" s="13" t="n">
        <v>21</v>
      </c>
      <c r="B27" s="14" t="inlineStr">
        <is>
          <t>FLAT ICE CREAM SPOON</t>
        </is>
      </c>
      <c r="C27" s="15" t="inlineStr">
        <is>
          <t>COLORED</t>
        </is>
      </c>
      <c r="D27" s="16" t="n">
        <v>18000</v>
      </c>
      <c r="E27" s="17" t="n">
        <v>0.083</v>
      </c>
      <c r="F27" s="18">
        <f>D27*1.3/1000</f>
        <v/>
      </c>
      <c r="G27" s="19" t="n">
        <v>5.5</v>
      </c>
      <c r="H27" s="20" t="n">
        <v>0</v>
      </c>
      <c r="I27" s="21">
        <f>H27*D27</f>
        <v/>
      </c>
      <c r="J27" s="22">
        <f>H27*F27</f>
        <v/>
      </c>
      <c r="K27" s="23">
        <f>H27*E27</f>
        <v/>
      </c>
      <c r="L27" s="24">
        <f>I27/1000*G27</f>
        <v/>
      </c>
    </row>
    <row r="28">
      <c r="A28" s="25" t="n">
        <v>22</v>
      </c>
      <c r="B28" s="26" t="inlineStr">
        <is>
          <t>PANDA ICE CREAM SPOON</t>
        </is>
      </c>
      <c r="C28" s="27" t="inlineStr">
        <is>
          <t>COLORED</t>
        </is>
      </c>
      <c r="D28" s="28" t="n">
        <v>8000</v>
      </c>
      <c r="E28" s="29" t="n">
        <v>0.047</v>
      </c>
      <c r="F28" s="30">
        <f>D28*1/1000</f>
        <v/>
      </c>
      <c r="G28" s="31" t="n">
        <v>4</v>
      </c>
      <c r="H28" s="20" t="n">
        <v>0</v>
      </c>
      <c r="I28" s="21">
        <f>H28*D28</f>
        <v/>
      </c>
      <c r="J28" s="22">
        <f>H28*F28</f>
        <v/>
      </c>
      <c r="K28" s="23">
        <f>H28*E28</f>
        <v/>
      </c>
      <c r="L28" s="24">
        <f>I28/1000*G28</f>
        <v/>
      </c>
    </row>
    <row r="29">
      <c r="A29" s="13" t="n">
        <v>23</v>
      </c>
      <c r="B29" s="14" t="inlineStr">
        <is>
          <t>50 CC  SHOT GLASS</t>
        </is>
      </c>
      <c r="C29" s="15" t="inlineStr">
        <is>
          <t>TRANSPARENT</t>
        </is>
      </c>
      <c r="D29" s="16" t="n">
        <v>2000</v>
      </c>
      <c r="E29" s="17" t="n">
        <v>0.035</v>
      </c>
      <c r="F29" s="18">
        <f>D29*3.2/1000</f>
        <v/>
      </c>
      <c r="G29" s="19" t="n">
        <v>18</v>
      </c>
      <c r="H29" s="20" t="n">
        <v>0</v>
      </c>
      <c r="I29" s="21">
        <f>H29*D29</f>
        <v/>
      </c>
      <c r="J29" s="22">
        <f>H29*F29</f>
        <v/>
      </c>
      <c r="K29" s="23">
        <f>H29*E29</f>
        <v/>
      </c>
      <c r="L29" s="24">
        <f>I29/1000*G29</f>
        <v/>
      </c>
    </row>
    <row r="30">
      <c r="A30" s="25" t="n">
        <v>24</v>
      </c>
      <c r="B30" s="26" t="inlineStr">
        <is>
          <t>120 CC CHAMPAGNE GLASS</t>
        </is>
      </c>
      <c r="C30" s="27" t="inlineStr">
        <is>
          <t>TRANSPARENT (OPTIONAL COLORED FOOT)</t>
        </is>
      </c>
      <c r="D30" s="28" t="n">
        <v>300</v>
      </c>
      <c r="E30" s="29" t="n">
        <v>0.053</v>
      </c>
      <c r="F30" s="30">
        <f>D30*12.5/1000</f>
        <v/>
      </c>
      <c r="G30" s="31" t="n">
        <v>75</v>
      </c>
      <c r="H30" s="20" t="n">
        <v>0</v>
      </c>
      <c r="I30" s="21">
        <f>H30*D30</f>
        <v/>
      </c>
      <c r="J30" s="22">
        <f>H30*F30</f>
        <v/>
      </c>
      <c r="K30" s="23">
        <f>H30*E30</f>
        <v/>
      </c>
      <c r="L30" s="24">
        <f>I30/1000*G30</f>
        <v/>
      </c>
    </row>
    <row r="31">
      <c r="A31" s="13" t="n">
        <v>25</v>
      </c>
      <c r="B31" s="14" t="inlineStr">
        <is>
          <t>175 CC COCKTAIL GLASS</t>
        </is>
      </c>
      <c r="C31" s="15" t="inlineStr">
        <is>
          <t>TRANSPARENT</t>
        </is>
      </c>
      <c r="D31" s="16" t="n">
        <v>300</v>
      </c>
      <c r="E31" s="17" t="n">
        <v>0.038</v>
      </c>
      <c r="F31" s="18">
        <f>D31*14/1000</f>
        <v/>
      </c>
      <c r="G31" s="19" t="n">
        <v>70</v>
      </c>
      <c r="H31" s="20" t="n">
        <v>0</v>
      </c>
      <c r="I31" s="21">
        <f>H31*D31</f>
        <v/>
      </c>
      <c r="J31" s="22">
        <f>H31*F31</f>
        <v/>
      </c>
      <c r="K31" s="23">
        <f>H31*E31</f>
        <v/>
      </c>
      <c r="L31" s="24">
        <f>I31/1000*G31</f>
        <v/>
      </c>
    </row>
    <row r="32">
      <c r="A32" s="25" t="n">
        <v>26</v>
      </c>
      <c r="B32" s="26" t="inlineStr">
        <is>
          <t>170 CC CRYSTAL CUP</t>
        </is>
      </c>
      <c r="C32" s="27" t="inlineStr">
        <is>
          <t>TRANSPARENT</t>
        </is>
      </c>
      <c r="D32" s="28" t="n">
        <v>1000</v>
      </c>
      <c r="E32" s="29" t="n">
        <v>0.05</v>
      </c>
      <c r="F32" s="30">
        <f>D32*7/1000</f>
        <v/>
      </c>
      <c r="G32" s="31" t="n">
        <v>17</v>
      </c>
      <c r="H32" s="20" t="n">
        <v>0</v>
      </c>
      <c r="I32" s="21">
        <f>H32*D32</f>
        <v/>
      </c>
      <c r="J32" s="22">
        <f>H32*F32</f>
        <v/>
      </c>
      <c r="K32" s="23">
        <f>H32*E32</f>
        <v/>
      </c>
      <c r="L32" s="24">
        <f>I32/1000*G32</f>
        <v/>
      </c>
    </row>
    <row r="33">
      <c r="A33" s="13" t="n">
        <v>27</v>
      </c>
      <c r="B33" s="14" t="inlineStr">
        <is>
          <t>180 CC CRYSTAL CUP</t>
        </is>
      </c>
      <c r="C33" s="15" t="inlineStr">
        <is>
          <t>TRANSPARENT</t>
        </is>
      </c>
      <c r="D33" s="16" t="n">
        <v>1000</v>
      </c>
      <c r="E33" s="17" t="n">
        <v>0.055</v>
      </c>
      <c r="F33" s="18">
        <f>D33*8.2/1000</f>
        <v/>
      </c>
      <c r="G33" s="19" t="n">
        <v>19</v>
      </c>
      <c r="H33" s="20" t="n">
        <v>0</v>
      </c>
      <c r="I33" s="21">
        <f>H33*D33</f>
        <v/>
      </c>
      <c r="J33" s="22">
        <f>H33*F33</f>
        <v/>
      </c>
      <c r="K33" s="23">
        <f>H33*E33</f>
        <v/>
      </c>
      <c r="L33" s="24">
        <f>I33/1000*G33</f>
        <v/>
      </c>
    </row>
    <row r="34">
      <c r="A34" s="25" t="n">
        <v>28</v>
      </c>
      <c r="B34" s="26" t="inlineStr">
        <is>
          <t>170 CC MINI WINE GLASS</t>
        </is>
      </c>
      <c r="C34" s="27" t="inlineStr">
        <is>
          <t>TRANSPARENT (OPTIONAL COLORED FOOT)</t>
        </is>
      </c>
      <c r="D34" s="28" t="n">
        <v>300</v>
      </c>
      <c r="E34" s="29" t="n">
        <v>0.049</v>
      </c>
      <c r="F34" s="30">
        <f>D34*12.5/1000</f>
        <v/>
      </c>
      <c r="G34" s="31" t="n">
        <v>75</v>
      </c>
      <c r="H34" s="20" t="n">
        <v>0</v>
      </c>
      <c r="I34" s="21">
        <f>H34*D34</f>
        <v/>
      </c>
      <c r="J34" s="22">
        <f>H34*F34</f>
        <v/>
      </c>
      <c r="K34" s="23">
        <f>H34*E34</f>
        <v/>
      </c>
      <c r="L34" s="24">
        <f>I34/1000*G34</f>
        <v/>
      </c>
    </row>
    <row r="35">
      <c r="A35" s="13" t="n">
        <v>29</v>
      </c>
      <c r="B35" s="14" t="inlineStr">
        <is>
          <t>185 CC WINE GLASS</t>
        </is>
      </c>
      <c r="C35" s="15" t="inlineStr">
        <is>
          <t>TRANSPARENT (OPTIONAL COLORED FOOT)</t>
        </is>
      </c>
      <c r="D35" s="16" t="n">
        <v>300</v>
      </c>
      <c r="E35" s="17" t="n">
        <v>0.067</v>
      </c>
      <c r="F35" s="18">
        <f>D35*14.5/1000</f>
        <v/>
      </c>
      <c r="G35" s="19" t="n">
        <v>95</v>
      </c>
      <c r="H35" s="20" t="n">
        <v>0</v>
      </c>
      <c r="I35" s="21">
        <f>H35*D35</f>
        <v/>
      </c>
      <c r="J35" s="22">
        <f>H35*F35</f>
        <v/>
      </c>
      <c r="K35" s="23">
        <f>H35*E35</f>
        <v/>
      </c>
      <c r="L35" s="24">
        <f>I35/1000*G35</f>
        <v/>
      </c>
    </row>
    <row r="36">
      <c r="A36" s="25" t="n">
        <v>30</v>
      </c>
      <c r="B36" s="26" t="inlineStr">
        <is>
          <t>220 CC WHISKEY GLASS (SQUARE  BOTTOM)</t>
        </is>
      </c>
      <c r="C36" s="27" t="inlineStr">
        <is>
          <t>TRANSPARENT</t>
        </is>
      </c>
      <c r="D36" s="28" t="n">
        <v>300</v>
      </c>
      <c r="E36" s="29" t="n">
        <v>0.044</v>
      </c>
      <c r="F36" s="30">
        <f>D36*17.5/1000</f>
        <v/>
      </c>
      <c r="G36" s="31" t="n">
        <v>80</v>
      </c>
      <c r="H36" s="20" t="n">
        <v>0</v>
      </c>
      <c r="I36" s="21">
        <f>H36*D36</f>
        <v/>
      </c>
      <c r="J36" s="22">
        <f>H36*F36</f>
        <v/>
      </c>
      <c r="K36" s="23">
        <f>H36*E36</f>
        <v/>
      </c>
      <c r="L36" s="24">
        <f>I36/1000*G36</f>
        <v/>
      </c>
    </row>
    <row r="37">
      <c r="A37" s="13" t="n">
        <v>31</v>
      </c>
      <c r="B37" s="14" t="inlineStr">
        <is>
          <t>290 CC TUMBLER</t>
        </is>
      </c>
      <c r="C37" s="15" t="inlineStr">
        <is>
          <t>TRANSPARENT</t>
        </is>
      </c>
      <c r="D37" s="16" t="n">
        <v>500</v>
      </c>
      <c r="E37" s="17" t="n">
        <v>0.043</v>
      </c>
      <c r="F37" s="18">
        <f>D37*15.5/1000</f>
        <v/>
      </c>
      <c r="G37" s="19" t="n">
        <v>75</v>
      </c>
      <c r="H37" s="20" t="n">
        <v>0</v>
      </c>
      <c r="I37" s="21">
        <f>H37*D37</f>
        <v/>
      </c>
      <c r="J37" s="22">
        <f>H37*F37</f>
        <v/>
      </c>
      <c r="K37" s="23">
        <f>H37*E37</f>
        <v/>
      </c>
      <c r="L37" s="24">
        <f>I37/1000*G37</f>
        <v/>
      </c>
    </row>
    <row r="38">
      <c r="A38" s="25" t="n">
        <v>32</v>
      </c>
      <c r="B38" s="26" t="inlineStr">
        <is>
          <t>180 CC CRYSTAL CUP</t>
        </is>
      </c>
      <c r="C38" s="27" t="inlineStr">
        <is>
          <t>TRANSPARENT</t>
        </is>
      </c>
      <c r="D38" s="28" t="n">
        <v>1000</v>
      </c>
      <c r="E38" s="29" t="n">
        <v>0.055</v>
      </c>
      <c r="F38" s="30">
        <f>D38*8.2/1000</f>
        <v/>
      </c>
      <c r="G38" s="31" t="n">
        <v>23</v>
      </c>
      <c r="H38" s="20" t="n">
        <v>0</v>
      </c>
      <c r="I38" s="21">
        <f>H38*D38</f>
        <v/>
      </c>
      <c r="J38" s="22">
        <f>H38*F38</f>
        <v/>
      </c>
      <c r="K38" s="23">
        <f>H38*E38</f>
        <v/>
      </c>
      <c r="L38" s="24">
        <f>I38/1000*G38</f>
        <v/>
      </c>
    </row>
    <row r="39">
      <c r="A39" s="13" t="n">
        <v>33</v>
      </c>
      <c r="B39" s="14" t="inlineStr">
        <is>
          <t>290 CC TUMBLER (5 pcs/pack)</t>
        </is>
      </c>
      <c r="C39" s="15" t="inlineStr">
        <is>
          <t>TRANSPARENT</t>
        </is>
      </c>
      <c r="D39" s="16" t="n">
        <v>125</v>
      </c>
      <c r="E39" s="17" t="n">
        <v>0.043</v>
      </c>
      <c r="F39" s="18">
        <f>D39*15.5/1000</f>
        <v/>
      </c>
      <c r="G39" s="19" t="n">
        <v>90</v>
      </c>
      <c r="H39" s="20" t="n">
        <v>0</v>
      </c>
      <c r="I39" s="21">
        <f>H39*D39</f>
        <v/>
      </c>
      <c r="J39" s="22">
        <f>H39*F39</f>
        <v/>
      </c>
      <c r="K39" s="23">
        <f>H39*E39</f>
        <v/>
      </c>
      <c r="L39" s="24">
        <f>I39/1000*G39</f>
        <v/>
      </c>
    </row>
    <row r="40">
      <c r="A40" s="25" t="n">
        <v>34</v>
      </c>
      <c r="B40" s="26" t="inlineStr">
        <is>
          <t>60 CC PRIZMA CUP</t>
        </is>
      </c>
      <c r="C40" s="27" t="inlineStr">
        <is>
          <t>TRANSPARENT</t>
        </is>
      </c>
      <c r="D40" s="28" t="n">
        <v>1000</v>
      </c>
      <c r="E40" s="29" t="n">
        <v>0.018</v>
      </c>
      <c r="F40" s="30">
        <f>D40*6.5/1000</f>
        <v/>
      </c>
      <c r="G40" s="31" t="n">
        <v>35</v>
      </c>
      <c r="H40" s="20" t="n">
        <v>0</v>
      </c>
      <c r="I40" s="21">
        <f>H40*D40</f>
        <v/>
      </c>
      <c r="J40" s="22">
        <f>H40*F40</f>
        <v/>
      </c>
      <c r="K40" s="23">
        <f>H40*E40</f>
        <v/>
      </c>
      <c r="L40" s="24">
        <f>I40/1000*G40</f>
        <v/>
      </c>
    </row>
    <row r="41">
      <c r="A41" s="13" t="n">
        <v>35</v>
      </c>
      <c r="B41" s="14" t="inlineStr">
        <is>
          <t>120 CC PRIZMA CUP</t>
        </is>
      </c>
      <c r="C41" s="15" t="inlineStr">
        <is>
          <t>TRANSPARENT</t>
        </is>
      </c>
      <c r="D41" s="16" t="n">
        <v>1000</v>
      </c>
      <c r="E41" s="17" t="n">
        <v>0.028</v>
      </c>
      <c r="F41" s="18">
        <f>D41*9/1000</f>
        <v/>
      </c>
      <c r="G41" s="19" t="n">
        <v>50</v>
      </c>
      <c r="H41" s="20" t="n">
        <v>0</v>
      </c>
      <c r="I41" s="21">
        <f>H41*D41</f>
        <v/>
      </c>
      <c r="J41" s="22">
        <f>H41*F41</f>
        <v/>
      </c>
      <c r="K41" s="23">
        <f>H41*E41</f>
        <v/>
      </c>
      <c r="L41" s="24">
        <f>I41/1000*G41</f>
        <v/>
      </c>
    </row>
    <row r="42">
      <c r="A42" s="25" t="n">
        <v>36</v>
      </c>
      <c r="B42" s="26" t="inlineStr">
        <is>
          <t>200 CC PRIZMA CUP</t>
        </is>
      </c>
      <c r="C42" s="27" t="inlineStr">
        <is>
          <t>TRANSPARENT</t>
        </is>
      </c>
      <c r="D42" s="28" t="n">
        <v>1000</v>
      </c>
      <c r="E42" s="29" t="n">
        <v>0.041</v>
      </c>
      <c r="F42" s="30">
        <f>D42*12.5/1000</f>
        <v/>
      </c>
      <c r="G42" s="31" t="n">
        <v>70</v>
      </c>
      <c r="H42" s="20" t="n">
        <v>0</v>
      </c>
      <c r="I42" s="21">
        <f>H42*D42</f>
        <v/>
      </c>
      <c r="J42" s="22">
        <f>H42*F42</f>
        <v/>
      </c>
      <c r="K42" s="23">
        <f>H42*E42</f>
        <v/>
      </c>
      <c r="L42" s="24">
        <f>I42/1000*G42</f>
        <v/>
      </c>
    </row>
    <row r="43">
      <c r="A43" s="13" t="n">
        <v>37</v>
      </c>
      <c r="B43" s="14" t="inlineStr">
        <is>
          <t>180 CC BODEGA CUP</t>
        </is>
      </c>
      <c r="C43" s="15" t="inlineStr">
        <is>
          <t>TRANSPARENT</t>
        </is>
      </c>
      <c r="D43" s="16" t="n">
        <v>300</v>
      </c>
      <c r="E43" s="17" t="n">
        <v>0.028</v>
      </c>
      <c r="F43" s="18">
        <f>D43*14.25/1000</f>
        <v/>
      </c>
      <c r="G43" s="19" t="n">
        <v>80</v>
      </c>
      <c r="H43" s="20" t="n">
        <v>0</v>
      </c>
      <c r="I43" s="21">
        <f>H43*D43</f>
        <v/>
      </c>
      <c r="J43" s="22">
        <f>H43*F43</f>
        <v/>
      </c>
      <c r="K43" s="23">
        <f>H43*E43</f>
        <v/>
      </c>
      <c r="L43" s="24">
        <f>I43/1000*G43</f>
        <v/>
      </c>
    </row>
    <row r="44">
      <c r="A44" s="25" t="n">
        <v>38</v>
      </c>
      <c r="B44" s="26" t="inlineStr">
        <is>
          <t>250 CC BODEGA CUP</t>
        </is>
      </c>
      <c r="C44" s="27" t="inlineStr">
        <is>
          <t>TRANSPARENT</t>
        </is>
      </c>
      <c r="D44" s="28" t="n">
        <v>300</v>
      </c>
      <c r="E44" s="29" t="n">
        <v>0.033</v>
      </c>
      <c r="F44" s="30">
        <f>D44*17/1000</f>
        <v/>
      </c>
      <c r="G44" s="31" t="n">
        <v>90</v>
      </c>
      <c r="H44" s="20" t="n">
        <v>0</v>
      </c>
      <c r="I44" s="21">
        <f>H44*D44</f>
        <v/>
      </c>
      <c r="J44" s="22">
        <f>H44*F44</f>
        <v/>
      </c>
      <c r="K44" s="23">
        <f>H44*E44</f>
        <v/>
      </c>
      <c r="L44" s="24">
        <f>I44/1000*G44</f>
        <v/>
      </c>
    </row>
    <row r="45">
      <c r="A45" s="13" t="n">
        <v>39</v>
      </c>
      <c r="B45" s="14" t="inlineStr">
        <is>
          <t>200 CC FOOTED CUP</t>
        </is>
      </c>
      <c r="C45" s="15" t="inlineStr">
        <is>
          <t>TRANSPARENT</t>
        </is>
      </c>
      <c r="D45" s="16" t="n">
        <v>500</v>
      </c>
      <c r="E45" s="17" t="n">
        <v>0.07099999999999999</v>
      </c>
      <c r="F45" s="18">
        <f>D45*10.5/1000</f>
        <v/>
      </c>
      <c r="G45" s="19" t="n">
        <v>50</v>
      </c>
      <c r="H45" s="20" t="n">
        <v>0</v>
      </c>
      <c r="I45" s="21">
        <f>H45*D45</f>
        <v/>
      </c>
      <c r="J45" s="22">
        <f>H45*F45</f>
        <v/>
      </c>
      <c r="K45" s="23">
        <f>H45*E45</f>
        <v/>
      </c>
      <c r="L45" s="24">
        <f>I45/1000*G45</f>
        <v/>
      </c>
    </row>
    <row r="46">
      <c r="A46" s="25" t="n">
        <v>40</v>
      </c>
      <c r="B46" s="26" t="inlineStr">
        <is>
          <t>DOME LID (FOR 200 CC FOOTED CUP)</t>
        </is>
      </c>
      <c r="C46" s="27" t="inlineStr">
        <is>
          <t>TRANSPARENT</t>
        </is>
      </c>
      <c r="D46" s="28" t="n">
        <v>1000</v>
      </c>
      <c r="E46" s="29" t="n">
        <v>0.053</v>
      </c>
      <c r="F46" s="30">
        <f>D46*3.1/1000</f>
        <v/>
      </c>
      <c r="G46" s="31" t="n">
        <v>11</v>
      </c>
      <c r="H46" s="20" t="n">
        <v>0</v>
      </c>
      <c r="I46" s="21">
        <f>H46*D46</f>
        <v/>
      </c>
      <c r="J46" s="22">
        <f>H46*F46</f>
        <v/>
      </c>
      <c r="K46" s="23">
        <f>H46*E46</f>
        <v/>
      </c>
      <c r="L46" s="24">
        <f>I46/1000*G46</f>
        <v/>
      </c>
    </row>
    <row r="47">
      <c r="A47" s="13" t="n">
        <v>41</v>
      </c>
      <c r="B47" s="14" t="inlineStr">
        <is>
          <t>160 CC ROUND BOWL</t>
        </is>
      </c>
      <c r="C47" s="15" t="inlineStr">
        <is>
          <t>TRANSPARENT</t>
        </is>
      </c>
      <c r="D47" s="16" t="n">
        <v>1000</v>
      </c>
      <c r="E47" s="17" t="n">
        <v>0.125</v>
      </c>
      <c r="F47" s="18">
        <f>D47*12/1000</f>
        <v/>
      </c>
      <c r="G47" s="19" t="n">
        <v>60</v>
      </c>
      <c r="H47" s="20" t="n">
        <v>0</v>
      </c>
      <c r="I47" s="21">
        <f>H47*D47</f>
        <v/>
      </c>
      <c r="J47" s="22">
        <f>H47*F47</f>
        <v/>
      </c>
      <c r="K47" s="23">
        <f>H47*E47</f>
        <v/>
      </c>
      <c r="L47" s="24">
        <f>I47/1000*G47</f>
        <v/>
      </c>
    </row>
    <row r="48">
      <c r="A48" s="25" t="n">
        <v>42</v>
      </c>
      <c r="B48" s="26" t="inlineStr">
        <is>
          <t>160 CC CRYSTAL BOWL</t>
        </is>
      </c>
      <c r="C48" s="27" t="inlineStr">
        <is>
          <t>TRANSPARENT</t>
        </is>
      </c>
      <c r="D48" s="28" t="n">
        <v>1000</v>
      </c>
      <c r="E48" s="29" t="n">
        <v>0.128</v>
      </c>
      <c r="F48" s="30">
        <f>D48*12/1000</f>
        <v/>
      </c>
      <c r="G48" s="31" t="n">
        <v>60</v>
      </c>
      <c r="H48" s="20" t="n">
        <v>0</v>
      </c>
      <c r="I48" s="21">
        <f>H48*D48</f>
        <v/>
      </c>
      <c r="J48" s="22">
        <f>H48*F48</f>
        <v/>
      </c>
      <c r="K48" s="23">
        <f>H48*E48</f>
        <v/>
      </c>
      <c r="L48" s="24">
        <f>I48/1000*G48</f>
        <v/>
      </c>
    </row>
    <row r="49">
      <c r="A49" s="13" t="n">
        <v>43</v>
      </c>
      <c r="B49" s="14" t="inlineStr">
        <is>
          <t>ASYMMETRIC CUP</t>
        </is>
      </c>
      <c r="C49" s="15" t="inlineStr">
        <is>
          <t>TRANSPARENT</t>
        </is>
      </c>
      <c r="D49" s="16" t="n">
        <v>300</v>
      </c>
      <c r="E49" s="17" t="n">
        <v>0.082</v>
      </c>
      <c r="F49" s="18">
        <f>D49*20.5/1000</f>
        <v/>
      </c>
      <c r="G49" s="19" t="n">
        <v>95</v>
      </c>
      <c r="H49" s="20" t="n">
        <v>0</v>
      </c>
      <c r="I49" s="21">
        <f>H49*D49</f>
        <v/>
      </c>
      <c r="J49" s="22">
        <f>H49*F49</f>
        <v/>
      </c>
      <c r="K49" s="23">
        <f>H49*E49</f>
        <v/>
      </c>
      <c r="L49" s="24">
        <f>I49/1000*G49</f>
        <v/>
      </c>
    </row>
    <row r="50">
      <c r="A50" s="25" t="n">
        <v>44</v>
      </c>
      <c r="B50" s="26" t="inlineStr">
        <is>
          <t>9 INCH PARTY PLATE</t>
        </is>
      </c>
      <c r="C50" s="27" t="inlineStr">
        <is>
          <t>COLORED</t>
        </is>
      </c>
      <c r="D50" s="28" t="n">
        <v>144</v>
      </c>
      <c r="E50" s="29" t="n">
        <v>0.021</v>
      </c>
      <c r="F50" s="30">
        <f>D50*35/1000</f>
        <v/>
      </c>
      <c r="G50" s="31" t="n">
        <v>130</v>
      </c>
      <c r="H50" s="20" t="n">
        <v>0</v>
      </c>
      <c r="I50" s="21">
        <f>H50*D50</f>
        <v/>
      </c>
      <c r="J50" s="22">
        <f>H50*F50</f>
        <v/>
      </c>
      <c r="K50" s="23">
        <f>H50*E50</f>
        <v/>
      </c>
      <c r="L50" s="24">
        <f>I50/1000*G50</f>
        <v/>
      </c>
    </row>
    <row r="51">
      <c r="A51" s="13" t="n">
        <v>45</v>
      </c>
      <c r="B51" s="14" t="inlineStr">
        <is>
          <t>PIZZA TRIPOD</t>
        </is>
      </c>
      <c r="C51" s="15" t="inlineStr">
        <is>
          <t>WHITE GREEN RED</t>
        </is>
      </c>
      <c r="D51" s="16" t="n">
        <v>1000</v>
      </c>
      <c r="E51" s="17" t="n">
        <v>0.027</v>
      </c>
      <c r="F51" s="18">
        <f>D51*1.8/1000</f>
        <v/>
      </c>
      <c r="G51" s="19" t="n">
        <v>8</v>
      </c>
      <c r="H51" s="20" t="n">
        <v>0</v>
      </c>
      <c r="I51" s="21">
        <f>H51*D51</f>
        <v/>
      </c>
      <c r="J51" s="22">
        <f>H51*F51</f>
        <v/>
      </c>
      <c r="K51" s="23">
        <f>H51*E51</f>
        <v/>
      </c>
      <c r="L51" s="24">
        <f>I51/1000*G51</f>
        <v/>
      </c>
    </row>
    <row r="52">
      <c r="A52" s="25" t="n">
        <v>46</v>
      </c>
      <c r="B52" s="26" t="inlineStr">
        <is>
          <t>LUX CHIP FORK</t>
        </is>
      </c>
      <c r="C52" s="27" t="inlineStr">
        <is>
          <t>COLORED</t>
        </is>
      </c>
      <c r="D52" s="28" t="n">
        <v>15000</v>
      </c>
      <c r="E52" s="29" t="n">
        <v>0.039</v>
      </c>
      <c r="F52" s="30">
        <f>D52*0.55/1000</f>
        <v/>
      </c>
      <c r="G52" s="31" t="n">
        <v>3.5</v>
      </c>
      <c r="H52" s="20" t="n">
        <v>0</v>
      </c>
      <c r="I52" s="21">
        <f>H52*D52</f>
        <v/>
      </c>
      <c r="J52" s="22">
        <f>H52*F52</f>
        <v/>
      </c>
      <c r="K52" s="23">
        <f>H52*E52</f>
        <v/>
      </c>
      <c r="L52" s="24">
        <f>I52/1000*G52</f>
        <v/>
      </c>
    </row>
    <row r="53">
      <c r="A53" s="13" t="n">
        <v>47</v>
      </c>
      <c r="B53" s="14" t="inlineStr">
        <is>
          <t>CHIP FORK</t>
        </is>
      </c>
      <c r="C53" s="15" t="inlineStr">
        <is>
          <t>BLACK RED BLUE WHITE</t>
        </is>
      </c>
      <c r="D53" s="16" t="n">
        <v>25000</v>
      </c>
      <c r="E53" s="17" t="n">
        <v>0.049</v>
      </c>
      <c r="F53" s="18">
        <f>D53*0.45/1000</f>
        <v/>
      </c>
      <c r="G53" s="19" t="n">
        <v>2.5</v>
      </c>
      <c r="H53" s="20" t="n">
        <v>0</v>
      </c>
      <c r="I53" s="21">
        <f>H53*D53</f>
        <v/>
      </c>
      <c r="J53" s="22">
        <f>H53*F53</f>
        <v/>
      </c>
      <c r="K53" s="23">
        <f>H53*E53</f>
        <v/>
      </c>
      <c r="L53" s="24">
        <f>I53/1000*G53</f>
        <v/>
      </c>
    </row>
    <row r="54">
      <c r="A54" s="25" t="n">
        <v>48</v>
      </c>
      <c r="B54" s="26" t="inlineStr">
        <is>
          <t>SWORD PICKS</t>
        </is>
      </c>
      <c r="C54" s="27" t="inlineStr">
        <is>
          <t>BLUE RED</t>
        </is>
      </c>
      <c r="D54" s="28" t="n">
        <v>25000</v>
      </c>
      <c r="E54" s="29" t="n">
        <v>0.049</v>
      </c>
      <c r="F54" s="30">
        <f>D54*0.35/1000</f>
        <v/>
      </c>
      <c r="G54" s="31" t="n">
        <v>2.5</v>
      </c>
      <c r="H54" s="20" t="n">
        <v>0</v>
      </c>
      <c r="I54" s="21">
        <f>H54*D54</f>
        <v/>
      </c>
      <c r="J54" s="22">
        <f>H54*F54</f>
        <v/>
      </c>
      <c r="K54" s="23">
        <f>H54*E54</f>
        <v/>
      </c>
      <c r="L54" s="24">
        <f>I54/1000*G54</f>
        <v/>
      </c>
    </row>
    <row r="55">
      <c r="A55" s="13" t="n">
        <v>49</v>
      </c>
      <c r="B55" s="14" t="inlineStr">
        <is>
          <t>67 MM STIRRER (MIXER)</t>
        </is>
      </c>
      <c r="C55" s="15" t="inlineStr">
        <is>
          <t>TRANSPARENT WHITE</t>
        </is>
      </c>
      <c r="D55" s="16" t="n">
        <v>30000</v>
      </c>
      <c r="E55" s="17" t="n">
        <v>0.074</v>
      </c>
      <c r="F55" s="18">
        <f>D55*0.34/1000</f>
        <v/>
      </c>
      <c r="G55" s="19" t="n">
        <v>2.5</v>
      </c>
      <c r="H55" s="20" t="n">
        <v>0</v>
      </c>
      <c r="I55" s="21">
        <f>H55*D55</f>
        <v/>
      </c>
      <c r="J55" s="22">
        <f>H55*F55</f>
        <v/>
      </c>
      <c r="K55" s="23">
        <f>H55*E55</f>
        <v/>
      </c>
      <c r="L55" s="24">
        <f>I55/1000*G55</f>
        <v/>
      </c>
    </row>
    <row r="56" ht="20" customHeight="1">
      <c r="A56" s="32" t="inlineStr">
        <is>
          <t>TOPLAM / GRAND TOTAL</t>
        </is>
      </c>
      <c r="H56" s="33">
        <f>SUM(H7:H55)</f>
        <v/>
      </c>
      <c r="I56" s="33">
        <f>SUM(I7:I55)</f>
        <v/>
      </c>
      <c r="J56" s="34">
        <f>SUM(J7:J55)</f>
        <v/>
      </c>
      <c r="K56" s="35">
        <f>SUM(K7:K55)</f>
        <v/>
      </c>
      <c r="L56" s="36">
        <f>SUM(L7:L55)</f>
        <v/>
      </c>
    </row>
    <row r="57" ht="34" customHeight="1">
      <c r="A57" s="37" t="inlineStr">
        <is>
          <t>*** FERPROM tamamen DOKME (bulk) yukleme yapar - palet YOKTUR. Her urun icin istediginiz KOLI adedini girin; kisit yoktur. Yukleme yalnizca toplam HACMIN TIR'a sigmasi ile hesaplanir (cift dorse = 120 m3).</t>
        </is>
      </c>
    </row>
  </sheetData>
  <mergeCells count="12">
    <mergeCell ref="A57:L57"/>
    <mergeCell ref="I4:J4"/>
    <mergeCell ref="A56:G56"/>
    <mergeCell ref="K2:L2"/>
    <mergeCell ref="I2:J2"/>
    <mergeCell ref="K1:L1"/>
    <mergeCell ref="K4:L4"/>
    <mergeCell ref="A1:D4"/>
    <mergeCell ref="F1:G1"/>
    <mergeCell ref="I1:J1"/>
    <mergeCell ref="K3:L3"/>
    <mergeCell ref="I3:J3"/>
  </mergeCells>
  <dataValidations count="1">
    <dataValidation sqref="H7:H55" showDropDown="0" showInputMessage="1" showErrorMessage="1" allowBlank="1" errorTitle="GECERSIZ" error="Lutfen 0 veya pozitif tam sayi girin." promptTitle="SIPARIS (KOLI)" prompt="KOLI cinsinden istediginiz adedi girin. Dokme yukleme - palet/sira kisiti yoktur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4" customHeight="1">
      <c r="B1" s="38" t="inlineStr">
        <is>
          <t>FERPROM - DOKME SIPARIS &amp; HACIM HESAPLAMA / BULK ORDER &amp; VOLUME CALCULATOR</t>
        </is>
      </c>
    </row>
    <row r="2">
      <c r="B2" s="39" t="inlineStr"/>
    </row>
    <row r="3">
      <c r="B3" s="40" t="inlineStr">
        <is>
          <t>DOKME (BULK) YUKLEME NEDIR?</t>
        </is>
      </c>
    </row>
    <row r="4">
      <c r="B4" s="39" t="inlineStr">
        <is>
          <t>FERPROM tamamen dokme yukleme ister - PALET KULLANILMAZ. Koliler TIR'a dogrudan istiflenir.</t>
        </is>
      </c>
    </row>
    <row r="5">
      <c r="B5" s="39" t="inlineStr">
        <is>
          <t>Bu yuzden palet/sira mantigi yoktur; tek kisit toplam HACMIN TIR'a sigmasidir.</t>
        </is>
      </c>
    </row>
    <row r="6">
      <c r="B6" s="39" t="inlineStr"/>
    </row>
    <row r="7">
      <c r="B7" s="40" t="inlineStr">
        <is>
          <t>NASIL KULLANILIR / HOW TO USE</t>
        </is>
      </c>
    </row>
    <row r="8">
      <c r="B8" s="39" t="inlineStr">
        <is>
          <t>1) Sari 'SIPARIS (KOLI)' sutununa (H) her urun icin istediginiz koli adedini girin (serbest).</t>
        </is>
      </c>
    </row>
    <row r="9">
      <c r="B9" s="39" t="inlineStr">
        <is>
          <t>2) Ustten TIR Kapasitesini girin (FERPROM cift dorse = 120 m3; standart TIR = 90 m3).</t>
        </is>
      </c>
    </row>
    <row r="10">
      <c r="B10" s="39" t="inlineStr">
        <is>
          <t>3) Ust bantta KPI: Toplam Hacim, TIR Doluluk %, Gereken TIR adedi, Toplam Tutar.</t>
        </is>
      </c>
    </row>
    <row r="11">
      <c r="B11" s="39" t="inlineStr"/>
    </row>
    <row r="12">
      <c r="B12" s="40" t="inlineStr">
        <is>
          <t>HESAPLAMALAR / FORMULAS</t>
        </is>
      </c>
    </row>
    <row r="13">
      <c r="B13" s="39" t="inlineStr">
        <is>
          <t>SIPARIS (ADET) = Koli x Adet/Koli</t>
        </is>
      </c>
    </row>
    <row r="14">
      <c r="B14" s="39" t="inlineStr">
        <is>
          <t>NET AGIRLIK kg = Koli x (Adet/Koli x urun agirligi gr / 1000)</t>
        </is>
      </c>
    </row>
    <row r="15">
      <c r="B15" s="39" t="inlineStr">
        <is>
          <t>HACIM m3       = Koli x Koli Hacmi m3</t>
        </is>
      </c>
    </row>
    <row r="16">
      <c r="B16" s="39" t="inlineStr">
        <is>
          <t>TUTAR USD      = (Siparis Adet / 1000) x Fiyat/1000</t>
        </is>
      </c>
    </row>
    <row r="17">
      <c r="B17" s="39" t="inlineStr">
        <is>
          <t>GEREKEN TIR    = Toplam Hacim / TIR Kapasitesi (yukari yuvarlanir)</t>
        </is>
      </c>
    </row>
    <row r="18">
      <c r="B18" s="39" t="inlineStr"/>
    </row>
    <row r="19">
      <c r="B19" s="40" t="inlineStr">
        <is>
          <t>NAVIPACK ILE FARK</t>
        </is>
      </c>
    </row>
    <row r="20">
      <c r="B20" s="39" t="inlineStr">
        <is>
          <t>NAVIPACK paletli yukler: koli/sira, palet ve tam-sira kisiti vardir (ayri dosya).</t>
        </is>
      </c>
    </row>
    <row r="21">
      <c r="B21" s="39" t="inlineStr">
        <is>
          <t>FERPROM dokme yukler: sadece hacim onemlidir, palet yoktur.</t>
        </is>
      </c>
    </row>
    <row r="22">
      <c r="B22" s="39" t="inlineStr"/>
    </row>
    <row r="23">
      <c r="B23" s="40" t="inlineStr">
        <is>
          <t>KAYNAKLAR / SOURCES</t>
        </is>
      </c>
    </row>
    <row r="24">
      <c r="B24" s="39" t="inlineStr">
        <is>
          <t>FERPROM Price Offer 20.07.2026 + Proforma 26094. Cift dorse TIR = 120 m3.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2026-07-20T13:54:23Z</dcterms:created>
  <dcterms:modified xsi:type="dcterms:W3CDTF">2026-07-20T13:54:24Z</dcterms:modified>
</cp:coreProperties>
</file>